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Normalized Indicators" sheetId="2" r:id="rId6"/>
  </sheets>
  <definedNames/>
  <calcPr/>
</workbook>
</file>

<file path=xl/sharedStrings.xml><?xml version="1.0" encoding="utf-8"?>
<sst xmlns="http://schemas.openxmlformats.org/spreadsheetml/2006/main" count="2461" uniqueCount="71">
  <si>
    <t>County</t>
  </si>
  <si>
    <t>2019_Area(Ha)</t>
  </si>
  <si>
    <t>2019_Production(Tonnes)</t>
  </si>
  <si>
    <t>2020_Area(Ha)</t>
  </si>
  <si>
    <t>2020_Production(Tons)</t>
  </si>
  <si>
    <t>2021_Area(Ha)</t>
  </si>
  <si>
    <t>2021_Production(Tons)</t>
  </si>
  <si>
    <t>2022_Area(Ha)</t>
  </si>
  <si>
    <t>2022_Production(Tons)</t>
  </si>
  <si>
    <t>2023_Area(Ha)</t>
  </si>
  <si>
    <t>2023_Production(Tons)</t>
  </si>
  <si>
    <t>2024_Area(Ha)</t>
  </si>
  <si>
    <t>2024_Production(Tons)</t>
  </si>
  <si>
    <t>Baringo</t>
  </si>
  <si>
    <t>Bomet</t>
  </si>
  <si>
    <t>Bungoma</t>
  </si>
  <si>
    <t>Busia</t>
  </si>
  <si>
    <t>Elgeyo 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</si>
  <si>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</si>
  <si>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</si>
  <si>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</si>
  <si>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</si>
  <si>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</si>
  <si>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</si>
  <si>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</si>
  <si>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</si>
  <si>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</si>
  <si>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</si>
  <si>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</si>
  <si>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</si>
  <si>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</si>
  <si>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</si>
  <si>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</si>
  <si>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</si>
  <si>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</si>
  <si>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</si>
  <si>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</si>
  <si>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</si>
  <si>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</si>
  <si>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</si>
  <si>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</si>
  <si>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</si>
  <si>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</si>
  <si>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</si>
  <si>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</si>
  <si>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</si>
  <si>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</si>
  <si>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</si>
  <si>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</si>
  <si>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</si>
  <si>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</si>
  <si>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</si>
  <si>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</si>
  <si>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</si>
  <si>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</si>
  <si>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</si>
  <si>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</si>
  <si>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</si>
  <si>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</si>
  <si>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</si>
  <si>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Year</t>
  </si>
  <si>
    <t>Indicator</t>
  </si>
  <si>
    <t>Value</t>
  </si>
  <si>
    <t>2019</t>
  </si>
  <si>
    <t>Area (HA)</t>
  </si>
  <si>
    <t>Production (MT)</t>
  </si>
  <si>
    <t>Yield(MT/HA)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</si>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</sst>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Quattrocento Sans"/>
    </font>
    <font>
      <sz val="10.0"/>
      <color theme="1"/>
      <name val="Quattrocento Sans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E8449"/>
        <bgColor rgb="FF1E8449"/>
      </patternFill>
    </fill>
    <fill>
      <patternFill patternType="solid">
        <fgColor rgb="FFF4F9F4"/>
        <bgColor rgb="FFF4F9F4"/>
      </patternFill>
    </fill>
  </fills>
  <borders count="3">
    <border/>
    <border>
      <left/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2" fillId="3" fontId="2" numFmtId="0" xfId="0" applyAlignment="1" applyBorder="1" applyFill="1" applyFont="1">
      <alignment horizontal="left"/>
    </xf>
    <xf borderId="2" fillId="3" fontId="2" numFmtId="3" xfId="0" applyAlignment="1" applyBorder="1" applyFont="1" applyNumberFormat="1">
      <alignment horizontal="right"/>
    </xf>
    <xf borderId="2" fillId="0" fontId="2" numFmtId="0" xfId="0" applyAlignment="1" applyBorder="1" applyFont="1">
      <alignment horizontal="left"/>
    </xf>
    <xf borderId="2" fillId="0" fontId="2" numFmtId="3" xfId="0" applyAlignment="1" applyBorder="1" applyFont="1" applyNumberFormat="1">
      <alignment horizontal="right"/>
    </xf>
    <xf borderId="1" fillId="2" fontId="1" numFmtId="49" xfId="0" applyAlignment="1" applyBorder="1" applyFont="1" applyNumberFormat="1">
      <alignment horizontal="right" vertical="center"/>
    </xf>
    <xf borderId="2" fillId="3" fontId="2" numFmtId="0" xfId="0" applyBorder="1" applyFont="1"/>
    <xf borderId="2" fillId="3" fontId="2" numFmtId="0" xfId="0" applyAlignment="1" applyBorder="1" applyFont="1">
      <alignment horizontal="center"/>
    </xf>
    <xf borderId="2" fillId="3" fontId="2" numFmtId="49" xfId="0" applyAlignment="1" applyBorder="1" applyFont="1" applyNumberFormat="1">
      <alignment horizontal="right"/>
    </xf>
    <xf borderId="2" fillId="0" fontId="2" numFmtId="0" xfId="0" applyBorder="1" applyFont="1"/>
    <xf borderId="2" fillId="0" fontId="2" numFmtId="0" xfId="0" applyAlignment="1" applyBorder="1" applyFont="1">
      <alignment horizontal="center"/>
    </xf>
    <xf borderId="2" fillId="0" fontId="2" numFmtId="49" xfId="0" applyAlignment="1" applyBorder="1" applyFont="1" applyNumberFormat="1">
      <alignment horizontal="right"/>
    </xf>
    <xf borderId="2" fillId="0" fontId="2" numFmtId="0" xfId="0" applyAlignment="1" applyBorder="1" applyFont="1">
      <alignment horizontal="right"/>
    </xf>
    <xf borderId="2" fillId="0" fontId="2" numFmtId="0" xfId="0" applyAlignment="1" applyBorder="1" applyFont="1">
      <alignment horizontal="center" readingOrder="0"/>
    </xf>
    <xf borderId="2" fillId="3" fontId="2" numFmtId="0" xfId="0" applyAlignment="1" applyBorder="1" applyFont="1">
      <alignment horizontal="center"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7.0"/>
    <col customWidth="1" min="3" max="3" width="27.0"/>
    <col customWidth="1" min="4" max="4" width="17.0"/>
    <col customWidth="1" min="5" max="5" width="25.0"/>
    <col customWidth="1" min="6" max="6" width="17.0"/>
    <col customWidth="1" min="7" max="7" width="25.0"/>
    <col customWidth="1" min="8" max="8" width="17.0"/>
    <col customWidth="1" min="9" max="9" width="25.0"/>
    <col customWidth="1" min="10" max="10" width="17.0"/>
    <col customWidth="1" min="11" max="11" width="25.0"/>
    <col customWidth="1" min="12" max="12" width="18.0"/>
    <col customWidth="1" min="13" max="13" width="26.0"/>
    <col customWidth="1" min="14" max="26" width="8.71"/>
  </cols>
  <sheetData>
    <row r="1" ht="27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>
      <c r="A2" s="4" t="s">
        <v>13</v>
      </c>
      <c r="B2" s="5">
        <v>45171.0</v>
      </c>
      <c r="C2" s="5">
        <v>70810.0</v>
      </c>
      <c r="D2" s="5">
        <v>47437.0</v>
      </c>
      <c r="E2" s="5">
        <v>68374.0</v>
      </c>
      <c r="F2" s="5">
        <v>34709.0</v>
      </c>
      <c r="G2" s="5">
        <v>59169.0</v>
      </c>
      <c r="H2" s="5">
        <v>37894.0</v>
      </c>
      <c r="I2" s="5">
        <v>50820.0</v>
      </c>
      <c r="J2" s="5">
        <v>42501.0</v>
      </c>
      <c r="K2" s="5">
        <v>94877.0</v>
      </c>
      <c r="L2" s="5">
        <v>47457.0</v>
      </c>
      <c r="M2" s="5">
        <v>83958.0</v>
      </c>
    </row>
    <row r="3">
      <c r="A3" s="6" t="s">
        <v>14</v>
      </c>
      <c r="B3" s="7">
        <v>34476.0</v>
      </c>
      <c r="C3" s="7">
        <v>74728.0</v>
      </c>
      <c r="D3" s="7">
        <v>42763.0</v>
      </c>
      <c r="E3" s="7">
        <v>73610.0</v>
      </c>
      <c r="F3" s="7">
        <v>40480.0</v>
      </c>
      <c r="G3" s="7">
        <v>58685.0</v>
      </c>
      <c r="H3" s="7">
        <v>27597.0</v>
      </c>
      <c r="I3" s="7">
        <v>43387.0</v>
      </c>
      <c r="J3" s="7">
        <v>27250.0</v>
      </c>
      <c r="K3" s="7">
        <v>63230.0</v>
      </c>
      <c r="L3" s="7">
        <v>33491.0</v>
      </c>
      <c r="M3" s="7">
        <v>52714.0</v>
      </c>
    </row>
    <row r="4">
      <c r="A4" s="4" t="s">
        <v>15</v>
      </c>
      <c r="B4" s="5">
        <v>94635.0</v>
      </c>
      <c r="C4" s="5">
        <v>315711.0</v>
      </c>
      <c r="D4" s="5">
        <v>87960.0</v>
      </c>
      <c r="E4" s="5">
        <v>317912.0</v>
      </c>
      <c r="F4" s="5">
        <v>93214.0</v>
      </c>
      <c r="G4" s="5">
        <v>269443.0</v>
      </c>
      <c r="H4" s="5">
        <v>92464.0</v>
      </c>
      <c r="I4" s="5">
        <v>275420.0</v>
      </c>
      <c r="J4" s="5">
        <v>92847.0</v>
      </c>
      <c r="K4" s="5">
        <v>222912.0</v>
      </c>
      <c r="L4" s="5">
        <v>90297.0</v>
      </c>
      <c r="M4" s="5">
        <v>207846.0</v>
      </c>
    </row>
    <row r="5">
      <c r="A5" s="6" t="s">
        <v>16</v>
      </c>
      <c r="B5" s="7">
        <v>61850.0</v>
      </c>
      <c r="C5" s="7">
        <v>67445.0</v>
      </c>
      <c r="D5" s="7">
        <v>48150.0</v>
      </c>
      <c r="E5" s="7">
        <v>69450.0</v>
      </c>
      <c r="F5" s="7">
        <v>33810.0</v>
      </c>
      <c r="G5" s="7">
        <v>42028.0</v>
      </c>
      <c r="H5" s="7">
        <v>42476.0</v>
      </c>
      <c r="I5" s="7">
        <v>64360.0</v>
      </c>
      <c r="J5" s="7">
        <v>44097.0</v>
      </c>
      <c r="K5" s="7">
        <v>71237.0</v>
      </c>
      <c r="L5" s="7">
        <v>44204.0</v>
      </c>
      <c r="M5" s="7">
        <v>77934.0</v>
      </c>
    </row>
    <row r="6">
      <c r="A6" s="4" t="s">
        <v>17</v>
      </c>
      <c r="B6" s="5">
        <v>31779.0</v>
      </c>
      <c r="C6" s="5">
        <v>104487.0</v>
      </c>
      <c r="D6" s="5">
        <v>25856.0</v>
      </c>
      <c r="E6" s="5">
        <v>87431.0</v>
      </c>
      <c r="F6" s="5">
        <v>31351.0</v>
      </c>
      <c r="G6" s="5">
        <v>86007.0</v>
      </c>
      <c r="H6" s="5">
        <v>31713.0</v>
      </c>
      <c r="I6" s="5">
        <v>72330.0</v>
      </c>
      <c r="J6" s="5">
        <v>43133.0</v>
      </c>
      <c r="K6" s="5">
        <v>150221.0</v>
      </c>
      <c r="L6" s="5">
        <v>42182.0</v>
      </c>
      <c r="M6" s="5">
        <v>117786.0</v>
      </c>
    </row>
    <row r="7">
      <c r="A7" s="6" t="s">
        <v>18</v>
      </c>
      <c r="B7" s="7">
        <v>34100.0</v>
      </c>
      <c r="C7" s="7">
        <v>28368.0</v>
      </c>
      <c r="D7" s="7">
        <v>35130.0</v>
      </c>
      <c r="E7" s="7">
        <v>34650.0</v>
      </c>
      <c r="F7" s="7">
        <v>35925.0</v>
      </c>
      <c r="G7" s="7">
        <v>31378.0</v>
      </c>
      <c r="H7" s="7">
        <v>34506.0</v>
      </c>
      <c r="I7" s="7">
        <v>10077.0</v>
      </c>
      <c r="J7" s="7">
        <v>34500.0</v>
      </c>
      <c r="K7" s="7">
        <v>41327.0</v>
      </c>
      <c r="L7" s="7">
        <v>34750.0</v>
      </c>
      <c r="M7" s="7">
        <v>25659.0</v>
      </c>
    </row>
    <row r="8">
      <c r="A8" s="4" t="s">
        <v>19</v>
      </c>
      <c r="B8" s="5">
        <v>150.0</v>
      </c>
      <c r="C8" s="5">
        <v>109.0</v>
      </c>
      <c r="D8" s="5">
        <v>238.0</v>
      </c>
      <c r="E8" s="5">
        <v>296.0</v>
      </c>
      <c r="F8" s="5">
        <v>145.0</v>
      </c>
      <c r="G8" s="5">
        <v>71.0</v>
      </c>
      <c r="H8" s="5">
        <v>107.0</v>
      </c>
      <c r="I8" s="5">
        <v>70.0</v>
      </c>
      <c r="J8" s="5">
        <v>142.0</v>
      </c>
      <c r="K8" s="5">
        <v>132.0</v>
      </c>
      <c r="L8" s="5">
        <v>222.0</v>
      </c>
      <c r="M8" s="5">
        <v>382.0</v>
      </c>
    </row>
    <row r="9">
      <c r="A9" s="6" t="s">
        <v>20</v>
      </c>
      <c r="B9" s="7">
        <v>72793.0</v>
      </c>
      <c r="C9" s="7">
        <v>102742.0</v>
      </c>
      <c r="D9" s="7">
        <v>72097.0</v>
      </c>
      <c r="E9" s="7">
        <v>92394.0</v>
      </c>
      <c r="F9" s="7">
        <v>79608.0</v>
      </c>
      <c r="G9" s="7">
        <v>82278.0</v>
      </c>
      <c r="H9" s="7">
        <v>72215.0</v>
      </c>
      <c r="I9" s="7">
        <v>86658.0</v>
      </c>
      <c r="J9" s="7">
        <v>78795.0</v>
      </c>
      <c r="K9" s="7">
        <v>115635.0</v>
      </c>
      <c r="L9" s="7">
        <v>89172.0</v>
      </c>
      <c r="M9" s="7">
        <v>146866.0</v>
      </c>
    </row>
    <row r="10">
      <c r="A10" s="4" t="s">
        <v>21</v>
      </c>
      <c r="B10" s="5">
        <v>530.0</v>
      </c>
      <c r="C10" s="5">
        <v>749.0</v>
      </c>
      <c r="D10" s="5">
        <v>586.0</v>
      </c>
      <c r="E10" s="5">
        <v>42.0</v>
      </c>
      <c r="F10" s="5">
        <v>147.0</v>
      </c>
      <c r="G10" s="5">
        <v>139.0</v>
      </c>
      <c r="H10" s="5">
        <v>129.0</v>
      </c>
      <c r="I10" s="5">
        <v>94.0</v>
      </c>
      <c r="J10" s="5">
        <v>256.0</v>
      </c>
      <c r="K10" s="5">
        <v>176.0</v>
      </c>
      <c r="L10" s="5">
        <v>288.0</v>
      </c>
      <c r="M10" s="5">
        <v>576.0</v>
      </c>
    </row>
    <row r="11">
      <c r="A11" s="6" t="s">
        <v>22</v>
      </c>
      <c r="B11" s="7">
        <v>17511.0</v>
      </c>
      <c r="C11" s="7">
        <v>16189.0</v>
      </c>
      <c r="D11" s="7">
        <v>31384.0</v>
      </c>
      <c r="E11" s="7">
        <v>15543.0</v>
      </c>
      <c r="F11" s="7">
        <v>4808.0</v>
      </c>
      <c r="G11" s="7">
        <v>2864.0</v>
      </c>
      <c r="H11" s="7">
        <v>32159.0</v>
      </c>
      <c r="I11" s="7">
        <v>13063.0</v>
      </c>
      <c r="J11" s="7">
        <v>33241.0</v>
      </c>
      <c r="K11" s="7">
        <v>40733.0</v>
      </c>
      <c r="L11" s="7">
        <v>21906.0</v>
      </c>
      <c r="M11" s="7">
        <v>40573.0</v>
      </c>
    </row>
    <row r="12">
      <c r="A12" s="4" t="s">
        <v>23</v>
      </c>
      <c r="B12" s="5">
        <v>95390.0</v>
      </c>
      <c r="C12" s="5">
        <v>259003.0</v>
      </c>
      <c r="D12" s="5">
        <v>83773.0</v>
      </c>
      <c r="E12" s="5">
        <v>226888.0</v>
      </c>
      <c r="F12" s="5">
        <v>98415.0</v>
      </c>
      <c r="G12" s="5">
        <v>262506.0</v>
      </c>
      <c r="H12" s="5">
        <v>100641.0</v>
      </c>
      <c r="I12" s="5">
        <v>154369.0</v>
      </c>
      <c r="J12" s="5">
        <v>87532.0</v>
      </c>
      <c r="K12" s="5">
        <v>132572.0</v>
      </c>
      <c r="L12" s="5">
        <v>105181.0</v>
      </c>
      <c r="M12" s="5">
        <v>212753.0</v>
      </c>
    </row>
    <row r="13">
      <c r="A13" s="6" t="s">
        <v>24</v>
      </c>
      <c r="B13" s="7">
        <v>32050.0</v>
      </c>
      <c r="C13" s="7">
        <v>85815.0</v>
      </c>
      <c r="D13" s="7">
        <v>34397.0</v>
      </c>
      <c r="E13" s="7">
        <v>92731.0</v>
      </c>
      <c r="F13" s="7">
        <v>35068.0</v>
      </c>
      <c r="G13" s="7">
        <v>98746.0</v>
      </c>
      <c r="H13" s="7">
        <v>40530.0</v>
      </c>
      <c r="I13" s="7">
        <v>85975.0</v>
      </c>
      <c r="J13" s="7">
        <v>40643.0</v>
      </c>
      <c r="K13" s="7">
        <v>111130.0</v>
      </c>
      <c r="L13" s="7">
        <v>43908.0</v>
      </c>
      <c r="M13" s="7">
        <v>134358.0</v>
      </c>
    </row>
    <row r="14">
      <c r="A14" s="4" t="s">
        <v>25</v>
      </c>
      <c r="B14" s="5">
        <v>31447.0</v>
      </c>
      <c r="C14" s="5">
        <v>83239.0</v>
      </c>
      <c r="D14" s="5">
        <v>31528.0</v>
      </c>
      <c r="E14" s="5">
        <v>43259.0</v>
      </c>
      <c r="F14" s="5">
        <v>30371.0</v>
      </c>
      <c r="G14" s="5">
        <v>25563.0</v>
      </c>
      <c r="H14" s="5">
        <v>29174.0</v>
      </c>
      <c r="I14" s="5">
        <v>19655.0</v>
      </c>
      <c r="J14" s="5">
        <v>30537.0</v>
      </c>
      <c r="K14" s="5">
        <v>29692.0</v>
      </c>
      <c r="L14" s="5">
        <v>33534.0</v>
      </c>
      <c r="M14" s="5">
        <v>39471.0</v>
      </c>
    </row>
    <row r="15">
      <c r="A15" s="6" t="s">
        <v>26</v>
      </c>
      <c r="B15" s="7">
        <v>72499.0</v>
      </c>
      <c r="C15" s="7">
        <v>45769.0</v>
      </c>
      <c r="D15" s="7">
        <v>71782.0</v>
      </c>
      <c r="E15" s="7">
        <v>44585.0</v>
      </c>
      <c r="F15" s="7">
        <v>53943.0</v>
      </c>
      <c r="G15" s="7">
        <v>26176.0</v>
      </c>
      <c r="H15" s="7">
        <v>72748.0</v>
      </c>
      <c r="I15" s="7">
        <v>47780.0</v>
      </c>
      <c r="J15" s="7">
        <v>95674.0</v>
      </c>
      <c r="K15" s="7">
        <v>81813.0</v>
      </c>
      <c r="L15" s="7">
        <v>51393.0</v>
      </c>
      <c r="M15" s="7">
        <v>41907.0</v>
      </c>
    </row>
    <row r="16">
      <c r="A16" s="4" t="s">
        <v>27</v>
      </c>
      <c r="B16" s="5">
        <v>30406.0</v>
      </c>
      <c r="C16" s="5">
        <v>45036.0</v>
      </c>
      <c r="D16" s="5">
        <v>30505.0</v>
      </c>
      <c r="E16" s="5">
        <v>40281.0</v>
      </c>
      <c r="F16" s="5">
        <v>30373.0</v>
      </c>
      <c r="G16" s="5">
        <v>24388.0</v>
      </c>
      <c r="H16" s="5">
        <v>30503.0</v>
      </c>
      <c r="I16" s="5">
        <v>13547.0</v>
      </c>
      <c r="J16" s="5">
        <v>38467.0</v>
      </c>
      <c r="K16" s="5">
        <v>49692.0</v>
      </c>
      <c r="L16" s="5">
        <v>28228.0</v>
      </c>
      <c r="M16" s="5">
        <v>38468.0</v>
      </c>
    </row>
    <row r="17">
      <c r="A17" s="6" t="s">
        <v>28</v>
      </c>
      <c r="B17" s="7">
        <v>66625.0</v>
      </c>
      <c r="C17" s="7">
        <v>144480.0</v>
      </c>
      <c r="D17" s="7">
        <v>67286.0</v>
      </c>
      <c r="E17" s="7">
        <v>132790.0</v>
      </c>
      <c r="F17" s="7">
        <v>65876.0</v>
      </c>
      <c r="G17" s="7">
        <v>96249.0</v>
      </c>
      <c r="H17" s="7">
        <v>43735.0</v>
      </c>
      <c r="I17" s="7">
        <v>79671.0</v>
      </c>
      <c r="J17" s="7">
        <v>66221.0</v>
      </c>
      <c r="K17" s="7">
        <v>119244.0</v>
      </c>
      <c r="L17" s="7">
        <v>65900.0</v>
      </c>
      <c r="M17" s="7">
        <v>41087.0</v>
      </c>
    </row>
    <row r="18">
      <c r="A18" s="4" t="s">
        <v>29</v>
      </c>
      <c r="B18" s="5">
        <v>50228.0</v>
      </c>
      <c r="C18" s="5">
        <v>69956.0</v>
      </c>
      <c r="D18" s="5">
        <v>46307.0</v>
      </c>
      <c r="E18" s="5">
        <v>67307.0</v>
      </c>
      <c r="F18" s="5">
        <v>62600.0</v>
      </c>
      <c r="G18" s="5">
        <v>40990.0</v>
      </c>
      <c r="H18" s="5">
        <v>54125.0</v>
      </c>
      <c r="I18" s="5">
        <v>34513.0</v>
      </c>
      <c r="J18" s="5">
        <v>62195.0</v>
      </c>
      <c r="K18" s="5">
        <v>105003.0</v>
      </c>
      <c r="L18" s="5">
        <v>48400.0</v>
      </c>
      <c r="M18" s="5">
        <v>58657.0</v>
      </c>
    </row>
    <row r="19">
      <c r="A19" s="6" t="s">
        <v>30</v>
      </c>
      <c r="B19" s="7">
        <v>76901.0</v>
      </c>
      <c r="C19" s="7">
        <v>98046.0</v>
      </c>
      <c r="D19" s="7">
        <v>87252.0</v>
      </c>
      <c r="E19" s="7">
        <v>27960.0</v>
      </c>
      <c r="F19" s="7">
        <v>79035.0</v>
      </c>
      <c r="G19" s="7">
        <v>11508.0</v>
      </c>
      <c r="H19" s="7">
        <v>62987.0</v>
      </c>
      <c r="I19" s="7">
        <v>9183.0</v>
      </c>
      <c r="J19" s="7">
        <v>83618.0</v>
      </c>
      <c r="K19" s="7">
        <v>36292.0</v>
      </c>
      <c r="L19" s="7">
        <v>89423.0</v>
      </c>
      <c r="M19" s="7">
        <v>17845.0</v>
      </c>
    </row>
    <row r="20">
      <c r="A20" s="4" t="s">
        <v>31</v>
      </c>
      <c r="B20" s="5">
        <v>65500.0</v>
      </c>
      <c r="C20" s="5">
        <v>35485.0</v>
      </c>
      <c r="D20" s="5">
        <v>56576.0</v>
      </c>
      <c r="E20" s="5">
        <v>34061.0</v>
      </c>
      <c r="F20" s="5">
        <v>56128.0</v>
      </c>
      <c r="G20" s="5">
        <v>33815.0</v>
      </c>
      <c r="H20" s="5">
        <v>23200.0</v>
      </c>
      <c r="I20" s="5">
        <v>45428.0</v>
      </c>
      <c r="J20" s="5">
        <v>60518.0</v>
      </c>
      <c r="K20" s="5">
        <v>61037.0</v>
      </c>
      <c r="L20" s="5">
        <v>58116.0</v>
      </c>
      <c r="M20" s="5">
        <v>44127.0</v>
      </c>
    </row>
    <row r="21" ht="15.75" customHeight="1">
      <c r="A21" s="6" t="s">
        <v>32</v>
      </c>
      <c r="B21" s="7">
        <v>25260.0</v>
      </c>
      <c r="C21" s="7">
        <v>44843.0</v>
      </c>
      <c r="D21" s="7">
        <v>26470.0</v>
      </c>
      <c r="E21" s="7">
        <v>39422.0</v>
      </c>
      <c r="F21" s="7">
        <v>24932.0</v>
      </c>
      <c r="G21" s="7">
        <v>34520.0</v>
      </c>
      <c r="H21" s="7">
        <v>25055.0</v>
      </c>
      <c r="I21" s="7">
        <v>7288.0</v>
      </c>
      <c r="J21" s="7">
        <v>29596.0</v>
      </c>
      <c r="K21" s="7">
        <v>44264.0</v>
      </c>
      <c r="L21" s="7">
        <v>29240.0</v>
      </c>
      <c r="M21" s="7">
        <v>51372.0</v>
      </c>
    </row>
    <row r="22" ht="15.75" customHeight="1">
      <c r="A22" s="4" t="s">
        <v>33</v>
      </c>
      <c r="B22" s="5">
        <v>29350.0</v>
      </c>
      <c r="C22" s="5">
        <v>53232.0</v>
      </c>
      <c r="D22" s="5">
        <v>37500.0</v>
      </c>
      <c r="E22" s="5">
        <v>28325.0</v>
      </c>
      <c r="F22" s="5">
        <v>16820.0</v>
      </c>
      <c r="G22" s="5">
        <v>4772.0</v>
      </c>
      <c r="H22" s="5">
        <v>39502.0</v>
      </c>
      <c r="I22" s="5">
        <v>59102.0</v>
      </c>
      <c r="J22" s="5">
        <v>45800.0</v>
      </c>
      <c r="K22" s="5">
        <v>74318.0</v>
      </c>
      <c r="L22" s="5">
        <v>23154.0</v>
      </c>
      <c r="M22" s="5">
        <v>48436.0</v>
      </c>
    </row>
    <row r="23" ht="15.75" customHeight="1">
      <c r="A23" s="6" t="s">
        <v>34</v>
      </c>
      <c r="B23" s="7">
        <v>125358.0</v>
      </c>
      <c r="C23" s="7">
        <v>92034.0</v>
      </c>
      <c r="D23" s="7">
        <v>133795.0</v>
      </c>
      <c r="E23" s="7">
        <v>40927.0</v>
      </c>
      <c r="F23" s="7">
        <v>144201.0</v>
      </c>
      <c r="G23" s="7">
        <v>59321.0</v>
      </c>
      <c r="H23" s="7">
        <v>134048.0</v>
      </c>
      <c r="I23" s="7">
        <v>22597.0</v>
      </c>
      <c r="J23" s="7">
        <v>138830.0</v>
      </c>
      <c r="K23" s="7">
        <v>175493.0</v>
      </c>
      <c r="L23" s="7">
        <v>158761.0</v>
      </c>
      <c r="M23" s="7">
        <v>91910.0</v>
      </c>
    </row>
    <row r="24" ht="15.75" customHeight="1">
      <c r="A24" s="4" t="s">
        <v>35</v>
      </c>
      <c r="B24" s="5">
        <v>139024.0</v>
      </c>
      <c r="C24" s="5">
        <v>109434.0</v>
      </c>
      <c r="D24" s="5">
        <v>146562.0</v>
      </c>
      <c r="E24" s="5">
        <v>120000.0</v>
      </c>
      <c r="F24" s="5">
        <v>150726.0</v>
      </c>
      <c r="G24" s="5">
        <v>88013.0</v>
      </c>
      <c r="H24" s="5">
        <v>132910.0</v>
      </c>
      <c r="I24" s="5">
        <v>83018.0</v>
      </c>
      <c r="J24" s="5">
        <v>136912.0</v>
      </c>
      <c r="K24" s="5">
        <v>81363.0</v>
      </c>
      <c r="L24" s="5">
        <v>155337.0</v>
      </c>
      <c r="M24" s="5">
        <v>83506.0</v>
      </c>
    </row>
    <row r="25" ht="15.75" customHeight="1">
      <c r="A25" s="6" t="s">
        <v>36</v>
      </c>
      <c r="B25" s="7">
        <v>3071.0</v>
      </c>
      <c r="C25" s="7">
        <v>964.0</v>
      </c>
      <c r="D25" s="7">
        <v>3708.0</v>
      </c>
      <c r="E25" s="7">
        <v>1847.0</v>
      </c>
      <c r="F25" s="7">
        <v>3510.0</v>
      </c>
      <c r="G25" s="7">
        <v>1818.0</v>
      </c>
      <c r="H25" s="7">
        <v>3209.0</v>
      </c>
      <c r="I25" s="7">
        <v>2160.0</v>
      </c>
      <c r="J25" s="7">
        <v>3209.0</v>
      </c>
      <c r="K25" s="7">
        <v>2738.0</v>
      </c>
      <c r="L25" s="7">
        <v>2828.0</v>
      </c>
      <c r="M25" s="7">
        <v>3113.0</v>
      </c>
    </row>
    <row r="26" ht="15.75" customHeight="1">
      <c r="A26" s="4" t="s">
        <v>37</v>
      </c>
      <c r="B26" s="5">
        <v>998.0</v>
      </c>
      <c r="C26" s="5">
        <v>402.0</v>
      </c>
      <c r="D26" s="5">
        <v>1023.0</v>
      </c>
      <c r="E26" s="5">
        <v>293.0</v>
      </c>
      <c r="F26" s="5">
        <v>658.0</v>
      </c>
      <c r="G26" s="5">
        <v>46.0</v>
      </c>
      <c r="H26" s="5">
        <v>591.0</v>
      </c>
      <c r="I26" s="5">
        <v>3.0</v>
      </c>
      <c r="J26" s="5">
        <v>2184.0</v>
      </c>
      <c r="K26" s="5">
        <v>337.0</v>
      </c>
      <c r="L26" s="5">
        <v>1830.0</v>
      </c>
      <c r="M26" s="5">
        <v>1089.0</v>
      </c>
    </row>
    <row r="27" ht="15.75" customHeight="1">
      <c r="A27" s="6" t="s">
        <v>38</v>
      </c>
      <c r="B27" s="7">
        <v>74577.0</v>
      </c>
      <c r="C27" s="7">
        <v>96249.0</v>
      </c>
      <c r="D27" s="7">
        <v>67416.0</v>
      </c>
      <c r="E27" s="7">
        <v>74757.0</v>
      </c>
      <c r="F27" s="7">
        <v>75058.0</v>
      </c>
      <c r="G27" s="7">
        <v>53331.0</v>
      </c>
      <c r="H27" s="7">
        <v>66338.0</v>
      </c>
      <c r="I27" s="7">
        <v>63157.0</v>
      </c>
      <c r="J27" s="7">
        <v>142379.0</v>
      </c>
      <c r="K27" s="7">
        <v>151039.0</v>
      </c>
      <c r="L27" s="7">
        <v>136082.0</v>
      </c>
      <c r="M27" s="7">
        <v>133150.0</v>
      </c>
    </row>
    <row r="28" ht="15.75" customHeight="1">
      <c r="A28" s="4" t="s">
        <v>39</v>
      </c>
      <c r="B28" s="5">
        <v>80745.0</v>
      </c>
      <c r="C28" s="5">
        <v>103965.0</v>
      </c>
      <c r="D28" s="5">
        <v>78222.0</v>
      </c>
      <c r="E28" s="5">
        <v>95966.0</v>
      </c>
      <c r="F28" s="5">
        <v>95034.0</v>
      </c>
      <c r="G28" s="5">
        <v>99598.0</v>
      </c>
      <c r="H28" s="5">
        <v>85628.0</v>
      </c>
      <c r="I28" s="5">
        <v>92441.0</v>
      </c>
      <c r="J28" s="5">
        <v>78567.0</v>
      </c>
      <c r="K28" s="5">
        <v>101474.0</v>
      </c>
      <c r="L28" s="5">
        <v>88449.0</v>
      </c>
      <c r="M28" s="5">
        <v>148919.0</v>
      </c>
    </row>
    <row r="29" ht="15.75" customHeight="1">
      <c r="A29" s="6" t="s">
        <v>40</v>
      </c>
      <c r="B29" s="7">
        <v>481.0</v>
      </c>
      <c r="C29" s="7">
        <v>259.0</v>
      </c>
      <c r="D29" s="7">
        <v>606.0</v>
      </c>
      <c r="E29" s="7">
        <v>803.0</v>
      </c>
      <c r="F29" s="7">
        <v>649.0</v>
      </c>
      <c r="G29" s="7">
        <v>0.0</v>
      </c>
      <c r="H29" s="7">
        <v>842.0</v>
      </c>
      <c r="I29" s="7">
        <v>272.0</v>
      </c>
      <c r="J29" s="7">
        <v>876.0</v>
      </c>
      <c r="K29" s="7">
        <v>878.0</v>
      </c>
      <c r="L29" s="7">
        <v>867.0</v>
      </c>
      <c r="M29" s="7">
        <v>770.0</v>
      </c>
    </row>
    <row r="30" ht="15.75" customHeight="1">
      <c r="A30" s="4" t="s">
        <v>41</v>
      </c>
      <c r="B30" s="5">
        <v>68329.0</v>
      </c>
      <c r="C30" s="5">
        <v>74087.0</v>
      </c>
      <c r="D30" s="5">
        <v>66331.0</v>
      </c>
      <c r="E30" s="5">
        <v>63653.0</v>
      </c>
      <c r="F30" s="5">
        <v>62983.0</v>
      </c>
      <c r="G30" s="5">
        <v>49256.0</v>
      </c>
      <c r="H30" s="5">
        <v>67530.0</v>
      </c>
      <c r="I30" s="5">
        <v>47434.0</v>
      </c>
      <c r="J30" s="5">
        <v>68399.0</v>
      </c>
      <c r="K30" s="5">
        <v>56827.0</v>
      </c>
      <c r="L30" s="5">
        <v>54189.0</v>
      </c>
      <c r="M30" s="5">
        <v>55488.0</v>
      </c>
    </row>
    <row r="31" ht="15.75" customHeight="1">
      <c r="A31" s="6" t="s">
        <v>42</v>
      </c>
      <c r="B31" s="7">
        <v>725.0</v>
      </c>
      <c r="C31" s="7">
        <v>1087.0</v>
      </c>
      <c r="D31" s="7">
        <v>684.0</v>
      </c>
      <c r="E31" s="7">
        <v>972.0</v>
      </c>
      <c r="F31" s="7">
        <v>754.0</v>
      </c>
      <c r="G31" s="7">
        <v>571.0</v>
      </c>
      <c r="H31" s="7">
        <v>661.0</v>
      </c>
      <c r="I31" s="7">
        <v>246.0</v>
      </c>
      <c r="J31" s="7">
        <v>758.0</v>
      </c>
      <c r="K31" s="7">
        <v>676.0</v>
      </c>
      <c r="L31" s="7">
        <v>713.0</v>
      </c>
      <c r="M31" s="7">
        <v>641.0</v>
      </c>
    </row>
    <row r="32" ht="15.75" customHeight="1">
      <c r="A32" s="4" t="s">
        <v>43</v>
      </c>
      <c r="B32" s="5">
        <v>76706.0</v>
      </c>
      <c r="C32" s="5">
        <v>214784.0</v>
      </c>
      <c r="D32" s="5">
        <v>64963.0</v>
      </c>
      <c r="E32" s="5">
        <v>206151.0</v>
      </c>
      <c r="F32" s="5">
        <v>87651.0</v>
      </c>
      <c r="G32" s="5">
        <v>242825.0</v>
      </c>
      <c r="H32" s="5">
        <v>66315.0</v>
      </c>
      <c r="I32" s="5">
        <v>213786.0</v>
      </c>
      <c r="J32" s="5">
        <v>71470.0</v>
      </c>
      <c r="K32" s="5">
        <v>215412.0</v>
      </c>
      <c r="L32" s="5">
        <v>94421.0</v>
      </c>
      <c r="M32" s="5">
        <v>201876.0</v>
      </c>
    </row>
    <row r="33" ht="15.75" customHeight="1">
      <c r="A33" s="6" t="s">
        <v>44</v>
      </c>
      <c r="B33" s="7">
        <v>66627.0</v>
      </c>
      <c r="C33" s="7">
        <v>184127.0</v>
      </c>
      <c r="D33" s="7">
        <v>59746.0</v>
      </c>
      <c r="E33" s="7">
        <v>165866.0</v>
      </c>
      <c r="F33" s="7">
        <v>26825.0</v>
      </c>
      <c r="G33" s="7">
        <v>64175.0</v>
      </c>
      <c r="H33" s="7">
        <v>45674.0</v>
      </c>
      <c r="I33" s="7">
        <v>89447.0</v>
      </c>
      <c r="J33" s="7">
        <v>67429.0</v>
      </c>
      <c r="K33" s="7">
        <v>159556.0</v>
      </c>
      <c r="L33" s="7">
        <v>57812.0</v>
      </c>
      <c r="M33" s="7">
        <v>179389.0</v>
      </c>
    </row>
    <row r="34" ht="15.75" customHeight="1">
      <c r="A34" s="4" t="s">
        <v>45</v>
      </c>
      <c r="B34" s="5">
        <v>111559.0</v>
      </c>
      <c r="C34" s="5">
        <v>210005.0</v>
      </c>
      <c r="D34" s="5">
        <v>116717.0</v>
      </c>
      <c r="E34" s="5">
        <v>202855.0</v>
      </c>
      <c r="F34" s="5">
        <v>121809.0</v>
      </c>
      <c r="G34" s="5">
        <v>280273.0</v>
      </c>
      <c r="H34" s="5">
        <v>127460.0</v>
      </c>
      <c r="I34" s="5">
        <v>271028.0</v>
      </c>
      <c r="J34" s="5">
        <v>132396.0</v>
      </c>
      <c r="K34" s="5">
        <v>314403.0</v>
      </c>
      <c r="L34" s="5">
        <v>122245.0</v>
      </c>
      <c r="M34" s="5">
        <v>224236.0</v>
      </c>
    </row>
    <row r="35" ht="15.75" customHeight="1">
      <c r="A35" s="6" t="s">
        <v>46</v>
      </c>
      <c r="B35" s="7">
        <v>46870.0</v>
      </c>
      <c r="C35" s="7">
        <v>80693.0</v>
      </c>
      <c r="D35" s="7">
        <v>42730.0</v>
      </c>
      <c r="E35" s="7">
        <v>67563.0</v>
      </c>
      <c r="F35" s="7">
        <v>43134.0</v>
      </c>
      <c r="G35" s="7">
        <v>61937.0</v>
      </c>
      <c r="H35" s="7">
        <v>48280.0</v>
      </c>
      <c r="I35" s="7">
        <v>76884.0</v>
      </c>
      <c r="J35" s="7">
        <v>48175.0</v>
      </c>
      <c r="K35" s="7">
        <v>63424.0</v>
      </c>
      <c r="L35" s="7">
        <v>48580.0</v>
      </c>
      <c r="M35" s="7">
        <v>89599.0</v>
      </c>
    </row>
    <row r="36" ht="15.75" customHeight="1">
      <c r="A36" s="4" t="s">
        <v>47</v>
      </c>
      <c r="B36" s="5">
        <v>13800.0</v>
      </c>
      <c r="C36" s="5">
        <v>27795.0</v>
      </c>
      <c r="D36" s="5">
        <v>17660.0</v>
      </c>
      <c r="E36" s="5">
        <v>39170.0</v>
      </c>
      <c r="F36" s="5">
        <v>14070.0</v>
      </c>
      <c r="G36" s="5">
        <v>27958.0</v>
      </c>
      <c r="H36" s="5">
        <v>20060.0</v>
      </c>
      <c r="I36" s="5">
        <v>26836.0</v>
      </c>
      <c r="J36" s="5">
        <v>20716.0</v>
      </c>
      <c r="K36" s="5">
        <v>46617.0</v>
      </c>
      <c r="L36" s="5">
        <v>14987.0</v>
      </c>
      <c r="M36" s="5">
        <v>28698.0</v>
      </c>
    </row>
    <row r="37" ht="15.75" customHeight="1">
      <c r="A37" s="6" t="s">
        <v>48</v>
      </c>
      <c r="B37" s="7">
        <v>28874.0</v>
      </c>
      <c r="C37" s="7">
        <v>29738.0</v>
      </c>
      <c r="D37" s="7">
        <v>26521.0</v>
      </c>
      <c r="E37" s="7">
        <v>26251.0</v>
      </c>
      <c r="F37" s="7">
        <v>27067.0</v>
      </c>
      <c r="G37" s="7">
        <v>19382.0</v>
      </c>
      <c r="H37" s="7">
        <v>26984.0</v>
      </c>
      <c r="I37" s="7">
        <v>14323.0</v>
      </c>
      <c r="J37" s="7">
        <v>31317.0</v>
      </c>
      <c r="K37" s="7">
        <v>35280.0</v>
      </c>
      <c r="L37" s="7">
        <v>29248.0</v>
      </c>
      <c r="M37" s="7">
        <v>24832.0</v>
      </c>
    </row>
    <row r="38" ht="15.75" customHeight="1">
      <c r="A38" s="4" t="s">
        <v>49</v>
      </c>
      <c r="B38" s="5">
        <v>8580.0</v>
      </c>
      <c r="C38" s="5">
        <v>1839.0</v>
      </c>
      <c r="D38" s="5">
        <v>10320.0</v>
      </c>
      <c r="E38" s="5">
        <v>9756.0</v>
      </c>
      <c r="F38" s="5">
        <v>12425.0</v>
      </c>
      <c r="G38" s="5">
        <v>12090.0</v>
      </c>
      <c r="H38" s="5">
        <v>15870.0</v>
      </c>
      <c r="I38" s="5">
        <v>11178.0</v>
      </c>
      <c r="J38" s="5">
        <v>6448.0</v>
      </c>
      <c r="K38" s="5">
        <v>15298.0</v>
      </c>
      <c r="L38" s="5">
        <v>11572.0</v>
      </c>
      <c r="M38" s="5">
        <v>9135.0</v>
      </c>
    </row>
    <row r="39" ht="15.75" customHeight="1">
      <c r="A39" s="6" t="s">
        <v>50</v>
      </c>
      <c r="B39" s="7">
        <v>64387.0</v>
      </c>
      <c r="C39" s="7">
        <v>75733.0</v>
      </c>
      <c r="D39" s="7">
        <v>63493.0</v>
      </c>
      <c r="E39" s="7">
        <v>72351.0</v>
      </c>
      <c r="F39" s="7">
        <v>83933.0</v>
      </c>
      <c r="G39" s="7">
        <v>53512.0</v>
      </c>
      <c r="H39" s="7">
        <v>73521.0</v>
      </c>
      <c r="I39" s="7">
        <v>76580.0</v>
      </c>
      <c r="J39" s="7">
        <v>77550.0</v>
      </c>
      <c r="K39" s="7">
        <v>115191.0</v>
      </c>
      <c r="L39" s="7">
        <v>77660.0</v>
      </c>
      <c r="M39" s="7">
        <v>143979.0</v>
      </c>
    </row>
    <row r="40" ht="15.75" customHeight="1">
      <c r="A40" s="4" t="s">
        <v>51</v>
      </c>
      <c r="B40" s="5">
        <v>17069.0</v>
      </c>
      <c r="C40" s="5">
        <v>16698.0</v>
      </c>
      <c r="D40" s="5">
        <v>10006.0</v>
      </c>
      <c r="E40" s="5">
        <v>16643.0</v>
      </c>
      <c r="F40" s="5">
        <v>12252.0</v>
      </c>
      <c r="G40" s="5">
        <v>3360.0</v>
      </c>
      <c r="H40" s="5">
        <v>11464.0</v>
      </c>
      <c r="I40" s="5">
        <v>10893.0</v>
      </c>
      <c r="J40" s="5">
        <v>13596.0</v>
      </c>
      <c r="K40" s="5">
        <v>12393.0</v>
      </c>
      <c r="L40" s="5">
        <v>11426.0</v>
      </c>
      <c r="M40" s="5">
        <v>13176.0</v>
      </c>
    </row>
    <row r="41" ht="15.75" customHeight="1">
      <c r="A41" s="6" t="s">
        <v>52</v>
      </c>
      <c r="B41" s="7">
        <v>5311.0</v>
      </c>
      <c r="C41" s="7">
        <v>4471.0</v>
      </c>
      <c r="D41" s="7">
        <v>5666.0</v>
      </c>
      <c r="E41" s="7">
        <v>8222.0</v>
      </c>
      <c r="F41" s="7">
        <v>4251.0</v>
      </c>
      <c r="G41" s="7">
        <v>958.0</v>
      </c>
      <c r="H41" s="7">
        <v>6673.0</v>
      </c>
      <c r="I41" s="7">
        <v>8257.0</v>
      </c>
      <c r="J41" s="7">
        <v>5734.0</v>
      </c>
      <c r="K41" s="7">
        <v>5879.0</v>
      </c>
      <c r="L41" s="7">
        <v>5063.0</v>
      </c>
      <c r="M41" s="7">
        <v>14658.0</v>
      </c>
    </row>
    <row r="42" ht="15.75" customHeight="1">
      <c r="A42" s="4" t="s">
        <v>53</v>
      </c>
      <c r="B42" s="5">
        <v>24436.0</v>
      </c>
      <c r="C42" s="5">
        <v>11943.0</v>
      </c>
      <c r="D42" s="5">
        <v>18591.0</v>
      </c>
      <c r="E42" s="5">
        <v>41601.0</v>
      </c>
      <c r="F42" s="5">
        <v>25420.0</v>
      </c>
      <c r="G42" s="5">
        <v>30352.0</v>
      </c>
      <c r="H42" s="5">
        <v>23640.0</v>
      </c>
      <c r="I42" s="5">
        <v>20668.0</v>
      </c>
      <c r="J42" s="5">
        <v>26617.0</v>
      </c>
      <c r="K42" s="5">
        <v>33808.0</v>
      </c>
      <c r="L42" s="5">
        <v>37588.0</v>
      </c>
      <c r="M42" s="5">
        <v>55426.0</v>
      </c>
    </row>
    <row r="43" ht="15.75" customHeight="1">
      <c r="A43" s="6" t="s">
        <v>54</v>
      </c>
      <c r="B43" s="7">
        <v>106549.0</v>
      </c>
      <c r="C43" s="7">
        <v>426499.0</v>
      </c>
      <c r="D43" s="7">
        <v>104850.0</v>
      </c>
      <c r="E43" s="7">
        <v>489056.0</v>
      </c>
      <c r="F43" s="7">
        <v>107090.0</v>
      </c>
      <c r="G43" s="7">
        <v>407913.0</v>
      </c>
      <c r="H43" s="7">
        <v>95140.0</v>
      </c>
      <c r="I43" s="7">
        <v>339990.0</v>
      </c>
      <c r="J43" s="7">
        <v>125065.0</v>
      </c>
      <c r="K43" s="7">
        <v>448011.0</v>
      </c>
      <c r="L43" s="7">
        <v>124976.0</v>
      </c>
      <c r="M43" s="7">
        <v>423156.0</v>
      </c>
    </row>
    <row r="44" ht="15.75" customHeight="1">
      <c r="A44" s="4" t="s">
        <v>55</v>
      </c>
      <c r="B44" s="5">
        <v>8931.0</v>
      </c>
      <c r="C44" s="5">
        <v>5689.0</v>
      </c>
      <c r="D44" s="5">
        <v>2475.0</v>
      </c>
      <c r="E44" s="5">
        <v>2582.0</v>
      </c>
      <c r="F44" s="5">
        <v>1295.0</v>
      </c>
      <c r="G44" s="5">
        <v>1154.0</v>
      </c>
      <c r="H44" s="5">
        <v>3408.0</v>
      </c>
      <c r="I44" s="5">
        <v>452.0</v>
      </c>
      <c r="J44" s="5">
        <v>1750.0</v>
      </c>
      <c r="K44" s="5">
        <v>1331.0</v>
      </c>
      <c r="L44" s="5">
        <v>3704.0</v>
      </c>
      <c r="M44" s="5">
        <v>4217.0</v>
      </c>
    </row>
    <row r="45" ht="15.75" customHeight="1">
      <c r="A45" s="6" t="s">
        <v>56</v>
      </c>
      <c r="B45" s="7">
        <v>100081.0</v>
      </c>
      <c r="C45" s="7">
        <v>324366.0</v>
      </c>
      <c r="D45" s="7">
        <v>106999.0</v>
      </c>
      <c r="E45" s="7">
        <v>456574.0</v>
      </c>
      <c r="F45" s="7">
        <v>104645.0</v>
      </c>
      <c r="G45" s="7">
        <v>385400.0</v>
      </c>
      <c r="H45" s="7">
        <v>102820.0</v>
      </c>
      <c r="I45" s="7">
        <v>359870.0</v>
      </c>
      <c r="J45" s="7">
        <v>117923.0</v>
      </c>
      <c r="K45" s="7">
        <v>476538.0</v>
      </c>
      <c r="L45" s="7">
        <v>107009.0</v>
      </c>
      <c r="M45" s="7">
        <v>483211.0</v>
      </c>
    </row>
    <row r="46" ht="15.75" customHeight="1">
      <c r="A46" s="4" t="s">
        <v>57</v>
      </c>
      <c r="B46" s="5">
        <v>28560.0</v>
      </c>
      <c r="C46" s="5">
        <v>38208.0</v>
      </c>
      <c r="D46" s="5">
        <v>25134.0</v>
      </c>
      <c r="E46" s="5">
        <v>30566.0</v>
      </c>
      <c r="F46" s="5">
        <v>22340.0</v>
      </c>
      <c r="G46" s="5">
        <v>24191.0</v>
      </c>
      <c r="H46" s="5">
        <v>26142.0</v>
      </c>
      <c r="I46" s="5">
        <v>25335.0</v>
      </c>
      <c r="J46" s="5">
        <v>24921.0</v>
      </c>
      <c r="K46" s="5">
        <v>29659.0</v>
      </c>
      <c r="L46" s="5">
        <v>24771.0</v>
      </c>
      <c r="M46" s="5">
        <v>34171.0</v>
      </c>
    </row>
    <row r="47" ht="15.75" customHeight="1">
      <c r="A47" s="6" t="s">
        <v>58</v>
      </c>
      <c r="B47" s="7">
        <v>306.0</v>
      </c>
      <c r="C47" s="7">
        <v>225.0</v>
      </c>
      <c r="D47" s="7">
        <v>98.0</v>
      </c>
      <c r="E47" s="7">
        <v>39.0</v>
      </c>
      <c r="F47" s="7">
        <v>54.0</v>
      </c>
      <c r="G47" s="7">
        <v>19.0</v>
      </c>
      <c r="H47" s="7">
        <v>72.0</v>
      </c>
      <c r="I47" s="7">
        <v>25.0</v>
      </c>
      <c r="J47" s="7">
        <v>132.0</v>
      </c>
      <c r="K47" s="7">
        <v>34.0</v>
      </c>
      <c r="L47" s="7">
        <v>278.0</v>
      </c>
      <c r="M47" s="7">
        <v>216.0</v>
      </c>
    </row>
    <row r="48" ht="15.75" customHeight="1">
      <c r="A48" s="4" t="s">
        <v>59</v>
      </c>
      <c r="B48" s="5">
        <v>36720.0</v>
      </c>
      <c r="C48" s="5">
        <v>82849.0</v>
      </c>
      <c r="D48" s="5">
        <v>32354.0</v>
      </c>
      <c r="E48" s="5">
        <v>23400.0</v>
      </c>
      <c r="F48" s="5">
        <v>34911.0</v>
      </c>
      <c r="G48" s="5">
        <v>53193.0</v>
      </c>
      <c r="H48" s="5">
        <v>34780.0</v>
      </c>
      <c r="I48" s="5">
        <v>52650.0</v>
      </c>
      <c r="J48" s="5">
        <v>49097.0</v>
      </c>
      <c r="K48" s="5">
        <v>96010.0</v>
      </c>
      <c r="L48" s="5">
        <v>56403.0</v>
      </c>
      <c r="M48" s="5">
        <v>96984.0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2.0"/>
    <col customWidth="1" min="3" max="3" width="19.0"/>
    <col customWidth="1" min="4" max="4" width="59.0"/>
    <col customWidth="1" min="5" max="26" width="8.71"/>
  </cols>
  <sheetData>
    <row r="1" ht="24.0" customHeight="1">
      <c r="A1" s="1" t="s">
        <v>0</v>
      </c>
      <c r="B1" s="1" t="s">
        <v>60</v>
      </c>
      <c r="C1" s="1" t="s">
        <v>61</v>
      </c>
      <c r="D1" s="8" t="s">
        <v>62</v>
      </c>
    </row>
    <row r="2">
      <c r="A2" s="9" t="s">
        <v>13</v>
      </c>
      <c r="B2" s="10" t="s">
        <v>63</v>
      </c>
      <c r="C2" s="9" t="s">
        <v>64</v>
      </c>
      <c r="D2" s="11">
        <f>'Raw Data'!B2</f>
        <v>45171</v>
      </c>
    </row>
    <row r="3">
      <c r="A3" s="12" t="s">
        <v>13</v>
      </c>
      <c r="B3" s="13" t="s">
        <v>63</v>
      </c>
      <c r="C3" s="12" t="s">
        <v>65</v>
      </c>
      <c r="D3" s="14">
        <f>'Raw Data'!C2</f>
        <v>70810</v>
      </c>
    </row>
    <row r="4">
      <c r="A4" s="12" t="s">
        <v>13</v>
      </c>
      <c r="B4" s="13" t="s">
        <v>63</v>
      </c>
      <c r="C4" s="12" t="s">
        <v>66</v>
      </c>
      <c r="D4" s="15">
        <f>IF('Raw Data'!B2&gt;0, 'Raw Data'!C2/'Raw Data'!B2, 0)</f>
        <v>1.567598681</v>
      </c>
    </row>
    <row r="5">
      <c r="A5" s="12" t="s">
        <v>13</v>
      </c>
      <c r="B5" s="13" t="s">
        <v>67</v>
      </c>
      <c r="C5" s="12" t="s">
        <v>64</v>
      </c>
      <c r="D5" s="14">
        <f>'Raw Data'!D2</f>
        <v>47437</v>
      </c>
    </row>
    <row r="6">
      <c r="A6" s="9" t="s">
        <v>13</v>
      </c>
      <c r="B6" s="10" t="s">
        <v>67</v>
      </c>
      <c r="C6" s="9" t="s">
        <v>65</v>
      </c>
      <c r="D6" s="11">
        <f>'Raw Data'!E2</f>
        <v>68374</v>
      </c>
    </row>
    <row r="7">
      <c r="A7" s="9" t="s">
        <v>13</v>
      </c>
      <c r="B7" s="10" t="s">
        <v>67</v>
      </c>
      <c r="C7" s="9" t="s">
        <v>66</v>
      </c>
      <c r="D7" s="11">
        <f>IF('Raw Data'!D2&gt;0, 'Raw Data'!E2/'Raw Data'!D2, 0)</f>
        <v>1.441364336</v>
      </c>
    </row>
    <row r="8">
      <c r="A8" s="9" t="s">
        <v>13</v>
      </c>
      <c r="B8" s="10" t="s">
        <v>68</v>
      </c>
      <c r="C8" s="9" t="s">
        <v>64</v>
      </c>
      <c r="D8" s="11">
        <f>'Raw Data'!F2</f>
        <v>34709</v>
      </c>
    </row>
    <row r="9">
      <c r="A9" s="12" t="s">
        <v>13</v>
      </c>
      <c r="B9" s="13" t="s">
        <v>68</v>
      </c>
      <c r="C9" s="12" t="s">
        <v>65</v>
      </c>
      <c r="D9" s="14">
        <f>'Raw Data'!G2</f>
        <v>59169</v>
      </c>
    </row>
    <row r="10">
      <c r="A10" s="12" t="s">
        <v>13</v>
      </c>
      <c r="B10" s="13" t="s">
        <v>68</v>
      </c>
      <c r="C10" s="12" t="s">
        <v>66</v>
      </c>
      <c r="D10" s="14">
        <f>IF('Raw Data'!F2&gt;0, 'Raw Data'!G2/'Raw Data'!F2, 0)</f>
        <v>1.704716356</v>
      </c>
    </row>
    <row r="11">
      <c r="A11" s="12" t="s">
        <v>13</v>
      </c>
      <c r="B11" s="13" t="s">
        <v>69</v>
      </c>
      <c r="C11" s="12" t="s">
        <v>64</v>
      </c>
      <c r="D11" s="14">
        <f>'Raw Data'!H2</f>
        <v>37894</v>
      </c>
    </row>
    <row r="12">
      <c r="A12" s="9" t="s">
        <v>13</v>
      </c>
      <c r="B12" s="10" t="s">
        <v>69</v>
      </c>
      <c r="C12" s="9" t="s">
        <v>65</v>
      </c>
      <c r="D12" s="11">
        <f>'Raw Data'!I2</f>
        <v>50820</v>
      </c>
    </row>
    <row r="13">
      <c r="A13" s="9" t="s">
        <v>13</v>
      </c>
      <c r="B13" s="10" t="s">
        <v>69</v>
      </c>
      <c r="C13" s="9" t="s">
        <v>66</v>
      </c>
      <c r="D13" s="11">
        <f>IF('Raw Data'!H2&gt;0, 'Raw Data'!I2/'Raw Data'!H2, 0)</f>
        <v>1.34110941</v>
      </c>
    </row>
    <row r="14">
      <c r="A14" s="9" t="s">
        <v>13</v>
      </c>
      <c r="B14" s="10" t="s">
        <v>70</v>
      </c>
      <c r="C14" s="9" t="s">
        <v>64</v>
      </c>
      <c r="D14" s="11">
        <f>'Raw Data'!J2</f>
        <v>42501</v>
      </c>
    </row>
    <row r="15">
      <c r="A15" s="12" t="s">
        <v>13</v>
      </c>
      <c r="B15" s="13" t="s">
        <v>70</v>
      </c>
      <c r="C15" s="12" t="s">
        <v>65</v>
      </c>
      <c r="D15" s="14">
        <f>'Raw Data'!K2</f>
        <v>94877</v>
      </c>
    </row>
    <row r="16">
      <c r="A16" s="12" t="s">
        <v>13</v>
      </c>
      <c r="B16" s="13" t="s">
        <v>70</v>
      </c>
      <c r="C16" s="12" t="s">
        <v>66</v>
      </c>
      <c r="D16" s="14">
        <f>IF('Raw Data'!J2&gt;0, 'Raw Data'!K2/'Raw Data'!J2, 0)</f>
        <v>2.232347474</v>
      </c>
    </row>
    <row r="17">
      <c r="A17" s="12" t="s">
        <v>13</v>
      </c>
      <c r="B17" s="16">
        <v>2024.0</v>
      </c>
      <c r="C17" s="12" t="s">
        <v>64</v>
      </c>
      <c r="D17" s="14">
        <f>'Raw Data'!L2</f>
        <v>47457</v>
      </c>
    </row>
    <row r="18">
      <c r="A18" s="9" t="s">
        <v>13</v>
      </c>
      <c r="B18" s="17">
        <v>2024.0</v>
      </c>
      <c r="C18" s="9" t="s">
        <v>65</v>
      </c>
      <c r="D18" s="11">
        <f>'Raw Data'!M2</f>
        <v>83958</v>
      </c>
    </row>
    <row r="19">
      <c r="A19" s="9" t="s">
        <v>13</v>
      </c>
      <c r="B19" s="17">
        <v>2024.0</v>
      </c>
      <c r="C19" s="9" t="s">
        <v>66</v>
      </c>
      <c r="D19" s="11">
        <f>IF('Raw Data'!L2&gt;0, 'Raw Data'!M2/'Raw Data'!L2, 0)</f>
        <v>1.769138378</v>
      </c>
    </row>
    <row r="20">
      <c r="A20" s="9" t="s">
        <v>14</v>
      </c>
      <c r="B20" s="10" t="s">
        <v>63</v>
      </c>
      <c r="C20" s="9" t="s">
        <v>64</v>
      </c>
      <c r="D20" s="11">
        <f>'Raw Data'!B3</f>
        <v>34476</v>
      </c>
    </row>
    <row r="21" ht="15.75" customHeight="1">
      <c r="A21" s="12" t="s">
        <v>14</v>
      </c>
      <c r="B21" s="13" t="s">
        <v>63</v>
      </c>
      <c r="C21" s="12" t="s">
        <v>65</v>
      </c>
      <c r="D21" s="14">
        <f>'Raw Data'!C3</f>
        <v>74728</v>
      </c>
    </row>
    <row r="22" ht="15.75" customHeight="1">
      <c r="A22" s="12" t="s">
        <v>14</v>
      </c>
      <c r="B22" s="13" t="s">
        <v>63</v>
      </c>
      <c r="C22" s="12" t="s">
        <v>66</v>
      </c>
      <c r="D22" s="14">
        <f>IF('Raw Data'!B3&gt;0, 'Raw Data'!C3/'Raw Data'!B3, 0)</f>
        <v>2.167536837</v>
      </c>
    </row>
    <row r="23" ht="15.75" customHeight="1">
      <c r="A23" s="12" t="s">
        <v>14</v>
      </c>
      <c r="B23" s="13" t="s">
        <v>67</v>
      </c>
      <c r="C23" s="12" t="s">
        <v>64</v>
      </c>
      <c r="D23" s="14">
        <f>'Raw Data'!D3</f>
        <v>42763</v>
      </c>
    </row>
    <row r="24" ht="15.75" customHeight="1">
      <c r="A24" s="9" t="s">
        <v>14</v>
      </c>
      <c r="B24" s="10" t="s">
        <v>67</v>
      </c>
      <c r="C24" s="9" t="s">
        <v>65</v>
      </c>
      <c r="D24" s="11">
        <f>'Raw Data'!E3</f>
        <v>73610</v>
      </c>
    </row>
    <row r="25" ht="15.75" customHeight="1">
      <c r="A25" s="9" t="s">
        <v>14</v>
      </c>
      <c r="B25" s="10" t="s">
        <v>67</v>
      </c>
      <c r="C25" s="9" t="s">
        <v>66</v>
      </c>
      <c r="D25" s="11">
        <f>IF('Raw Data'!D3&gt;0, 'Raw Data'!E3/'Raw Data'!D3, 0)</f>
        <v>1.721347894</v>
      </c>
    </row>
    <row r="26" ht="15.75" customHeight="1">
      <c r="A26" s="9" t="s">
        <v>14</v>
      </c>
      <c r="B26" s="10" t="s">
        <v>68</v>
      </c>
      <c r="C26" s="9" t="s">
        <v>64</v>
      </c>
      <c r="D26" s="11">
        <f>'Raw Data'!F3</f>
        <v>40480</v>
      </c>
    </row>
    <row r="27" ht="15.75" customHeight="1">
      <c r="A27" s="12" t="s">
        <v>14</v>
      </c>
      <c r="B27" s="13" t="s">
        <v>68</v>
      </c>
      <c r="C27" s="12" t="s">
        <v>65</v>
      </c>
      <c r="D27" s="14">
        <f>'Raw Data'!G3</f>
        <v>58685</v>
      </c>
    </row>
    <row r="28" ht="15.75" customHeight="1">
      <c r="A28" s="12" t="s">
        <v>14</v>
      </c>
      <c r="B28" s="13" t="s">
        <v>68</v>
      </c>
      <c r="C28" s="12" t="s">
        <v>66</v>
      </c>
      <c r="D28" s="14">
        <f>IF('Raw Data'!F3&gt;0, 'Raw Data'!G3/'Raw Data'!F3, 0)</f>
        <v>1.449728261</v>
      </c>
    </row>
    <row r="29" ht="15.75" customHeight="1">
      <c r="A29" s="12" t="s">
        <v>14</v>
      </c>
      <c r="B29" s="13" t="s">
        <v>69</v>
      </c>
      <c r="C29" s="12" t="s">
        <v>64</v>
      </c>
      <c r="D29" s="14">
        <f>'Raw Data'!H3</f>
        <v>27597</v>
      </c>
    </row>
    <row r="30" ht="15.75" customHeight="1">
      <c r="A30" s="9" t="s">
        <v>14</v>
      </c>
      <c r="B30" s="10" t="s">
        <v>69</v>
      </c>
      <c r="C30" s="9" t="s">
        <v>65</v>
      </c>
      <c r="D30" s="11">
        <f>'Raw Data'!I3</f>
        <v>43387</v>
      </c>
    </row>
    <row r="31" ht="15.75" customHeight="1">
      <c r="A31" s="9" t="s">
        <v>14</v>
      </c>
      <c r="B31" s="10" t="s">
        <v>69</v>
      </c>
      <c r="C31" s="9" t="s">
        <v>66</v>
      </c>
      <c r="D31" s="11">
        <f>IF('Raw Data'!H3&gt;0, 'Raw Data'!I3/'Raw Data'!H3, 0)</f>
        <v>1.572163641</v>
      </c>
    </row>
    <row r="32" ht="15.75" customHeight="1">
      <c r="A32" s="9" t="s">
        <v>14</v>
      </c>
      <c r="B32" s="10" t="s">
        <v>70</v>
      </c>
      <c r="C32" s="9" t="s">
        <v>64</v>
      </c>
      <c r="D32" s="11">
        <f>'Raw Data'!J3</f>
        <v>27250</v>
      </c>
    </row>
    <row r="33" ht="15.75" customHeight="1">
      <c r="A33" s="12" t="s">
        <v>14</v>
      </c>
      <c r="B33" s="13" t="s">
        <v>70</v>
      </c>
      <c r="C33" s="12" t="s">
        <v>65</v>
      </c>
      <c r="D33" s="14">
        <f>'Raw Data'!K3</f>
        <v>63230</v>
      </c>
    </row>
    <row r="34" ht="15.75" customHeight="1">
      <c r="A34" s="12" t="s">
        <v>14</v>
      </c>
      <c r="B34" s="13" t="s">
        <v>70</v>
      </c>
      <c r="C34" s="12" t="s">
        <v>66</v>
      </c>
      <c r="D34" s="14">
        <f>IF('Raw Data'!J3&gt;0, 'Raw Data'!K3/'Raw Data'!J3, 0)</f>
        <v>2.320366972</v>
      </c>
    </row>
    <row r="35" ht="15.75" customHeight="1">
      <c r="A35" s="12" t="s">
        <v>14</v>
      </c>
      <c r="B35" s="16">
        <v>2024.0</v>
      </c>
      <c r="C35" s="12" t="s">
        <v>64</v>
      </c>
      <c r="D35" s="14">
        <f>'Raw Data'!L3</f>
        <v>33491</v>
      </c>
    </row>
    <row r="36" ht="15.75" customHeight="1">
      <c r="A36" s="9" t="s">
        <v>14</v>
      </c>
      <c r="B36" s="17">
        <v>2024.0</v>
      </c>
      <c r="C36" s="9" t="s">
        <v>65</v>
      </c>
      <c r="D36" s="11">
        <f>'Raw Data'!M3</f>
        <v>52714</v>
      </c>
    </row>
    <row r="37" ht="15.75" customHeight="1">
      <c r="A37" s="9" t="s">
        <v>14</v>
      </c>
      <c r="B37" s="17">
        <v>2024.0</v>
      </c>
      <c r="C37" s="9" t="s">
        <v>66</v>
      </c>
      <c r="D37" s="11">
        <f>IF('Raw Data'!L3&gt;0, 'Raw Data'!M3/'Raw Data'!L3, 0)</f>
        <v>1.573975098</v>
      </c>
    </row>
    <row r="38" ht="15.75" customHeight="1">
      <c r="A38" s="9" t="s">
        <v>15</v>
      </c>
      <c r="B38" s="10" t="s">
        <v>63</v>
      </c>
      <c r="C38" s="9" t="s">
        <v>64</v>
      </c>
      <c r="D38" s="11">
        <f>'Raw Data'!B4</f>
        <v>94635</v>
      </c>
    </row>
    <row r="39" ht="15.75" customHeight="1">
      <c r="A39" s="12" t="s">
        <v>15</v>
      </c>
      <c r="B39" s="13" t="s">
        <v>63</v>
      </c>
      <c r="C39" s="12" t="s">
        <v>65</v>
      </c>
      <c r="D39" s="14">
        <f>'Raw Data'!C4</f>
        <v>315711</v>
      </c>
    </row>
    <row r="40" ht="15.75" customHeight="1">
      <c r="A40" s="12" t="s">
        <v>15</v>
      </c>
      <c r="B40" s="13" t="s">
        <v>63</v>
      </c>
      <c r="C40" s="12" t="s">
        <v>66</v>
      </c>
      <c r="D40" s="14">
        <f>IF('Raw Data'!B4&gt;0, 'Raw Data'!C4/'Raw Data'!B4, 0)</f>
        <v>3.336091298</v>
      </c>
    </row>
    <row r="41" ht="15.75" customHeight="1">
      <c r="A41" s="12" t="s">
        <v>15</v>
      </c>
      <c r="B41" s="13" t="s">
        <v>67</v>
      </c>
      <c r="C41" s="12" t="s">
        <v>64</v>
      </c>
      <c r="D41" s="14">
        <f>'Raw Data'!D4</f>
        <v>87960</v>
      </c>
    </row>
    <row r="42" ht="15.75" customHeight="1">
      <c r="A42" s="9" t="s">
        <v>15</v>
      </c>
      <c r="B42" s="10" t="s">
        <v>67</v>
      </c>
      <c r="C42" s="9" t="s">
        <v>65</v>
      </c>
      <c r="D42" s="11">
        <f>'Raw Data'!E4</f>
        <v>317912</v>
      </c>
    </row>
    <row r="43" ht="15.75" customHeight="1">
      <c r="A43" s="9" t="s">
        <v>15</v>
      </c>
      <c r="B43" s="10" t="s">
        <v>67</v>
      </c>
      <c r="C43" s="9" t="s">
        <v>66</v>
      </c>
      <c r="D43" s="11">
        <f>IF('Raw Data'!D4&gt;0, 'Raw Data'!E4/'Raw Data'!D4, 0)</f>
        <v>3.614279218</v>
      </c>
    </row>
    <row r="44" ht="15.75" customHeight="1">
      <c r="A44" s="9" t="s">
        <v>15</v>
      </c>
      <c r="B44" s="10" t="s">
        <v>68</v>
      </c>
      <c r="C44" s="9" t="s">
        <v>64</v>
      </c>
      <c r="D44" s="11">
        <f>'Raw Data'!F4</f>
        <v>93214</v>
      </c>
    </row>
    <row r="45" ht="15.75" customHeight="1">
      <c r="A45" s="12" t="s">
        <v>15</v>
      </c>
      <c r="B45" s="13" t="s">
        <v>68</v>
      </c>
      <c r="C45" s="12" t="s">
        <v>65</v>
      </c>
      <c r="D45" s="14">
        <f>'Raw Data'!G4</f>
        <v>269443</v>
      </c>
    </row>
    <row r="46" ht="15.75" customHeight="1">
      <c r="A46" s="12" t="s">
        <v>15</v>
      </c>
      <c r="B46" s="13" t="s">
        <v>68</v>
      </c>
      <c r="C46" s="12" t="s">
        <v>66</v>
      </c>
      <c r="D46" s="14">
        <f>IF('Raw Data'!F4&gt;0, 'Raw Data'!G4/'Raw Data'!F4, 0)</f>
        <v>2.890585105</v>
      </c>
    </row>
    <row r="47" ht="15.75" customHeight="1">
      <c r="A47" s="12" t="s">
        <v>15</v>
      </c>
      <c r="B47" s="13" t="s">
        <v>69</v>
      </c>
      <c r="C47" s="12" t="s">
        <v>64</v>
      </c>
      <c r="D47" s="14">
        <f>'Raw Data'!H4</f>
        <v>92464</v>
      </c>
    </row>
    <row r="48" ht="15.75" customHeight="1">
      <c r="A48" s="9" t="s">
        <v>15</v>
      </c>
      <c r="B48" s="10" t="s">
        <v>69</v>
      </c>
      <c r="C48" s="9" t="s">
        <v>65</v>
      </c>
      <c r="D48" s="11">
        <f>'Raw Data'!I4</f>
        <v>275420</v>
      </c>
    </row>
    <row r="49" ht="15.75" customHeight="1">
      <c r="A49" s="9" t="s">
        <v>15</v>
      </c>
      <c r="B49" s="10" t="s">
        <v>69</v>
      </c>
      <c r="C49" s="9" t="s">
        <v>66</v>
      </c>
      <c r="D49" s="11">
        <f>IF('Raw Data'!H4&gt;0, 'Raw Data'!I4/'Raw Data'!H4, 0)</f>
        <v>2.978672781</v>
      </c>
    </row>
    <row r="50" ht="15.75" customHeight="1">
      <c r="A50" s="9" t="s">
        <v>15</v>
      </c>
      <c r="B50" s="10" t="s">
        <v>70</v>
      </c>
      <c r="C50" s="9" t="s">
        <v>64</v>
      </c>
      <c r="D50" s="11">
        <f>'Raw Data'!J4</f>
        <v>92847</v>
      </c>
    </row>
    <row r="51" ht="15.75" customHeight="1">
      <c r="A51" s="12" t="s">
        <v>15</v>
      </c>
      <c r="B51" s="13" t="s">
        <v>70</v>
      </c>
      <c r="C51" s="12" t="s">
        <v>65</v>
      </c>
      <c r="D51" s="14">
        <f>'Raw Data'!K4</f>
        <v>222912</v>
      </c>
    </row>
    <row r="52" ht="15.75" customHeight="1">
      <c r="A52" s="12" t="s">
        <v>15</v>
      </c>
      <c r="B52" s="13" t="s">
        <v>70</v>
      </c>
      <c r="C52" s="12" t="s">
        <v>66</v>
      </c>
      <c r="D52" s="14">
        <f>IF('Raw Data'!J4&gt;0, 'Raw Data'!K4/'Raw Data'!J4, 0)</f>
        <v>2.400853016</v>
      </c>
    </row>
    <row r="53" ht="15.75" customHeight="1">
      <c r="A53" s="12" t="s">
        <v>15</v>
      </c>
      <c r="B53" s="16">
        <v>2024.0</v>
      </c>
      <c r="C53" s="12" t="s">
        <v>64</v>
      </c>
      <c r="D53" s="14">
        <f>'Raw Data'!L4</f>
        <v>90297</v>
      </c>
    </row>
    <row r="54" ht="15.75" customHeight="1">
      <c r="A54" s="9" t="s">
        <v>15</v>
      </c>
      <c r="B54" s="17">
        <v>2024.0</v>
      </c>
      <c r="C54" s="9" t="s">
        <v>65</v>
      </c>
      <c r="D54" s="11">
        <f>'Raw Data'!M4</f>
        <v>207846</v>
      </c>
    </row>
    <row r="55" ht="15.75" customHeight="1">
      <c r="A55" s="9" t="s">
        <v>15</v>
      </c>
      <c r="B55" s="17">
        <v>2024.0</v>
      </c>
      <c r="C55" s="9" t="s">
        <v>66</v>
      </c>
      <c r="D55" s="11">
        <f>IF('Raw Data'!L4&gt;0, 'Raw Data'!M4/'Raw Data'!L4, 0)</f>
        <v>2.301804047</v>
      </c>
    </row>
    <row r="56" ht="15.75" customHeight="1">
      <c r="A56" s="9" t="s">
        <v>16</v>
      </c>
      <c r="B56" s="10" t="s">
        <v>63</v>
      </c>
      <c r="C56" s="9" t="s">
        <v>64</v>
      </c>
      <c r="D56" s="11">
        <f>'Raw Data'!B5</f>
        <v>61850</v>
      </c>
    </row>
    <row r="57" ht="15.75" customHeight="1">
      <c r="A57" s="12" t="s">
        <v>16</v>
      </c>
      <c r="B57" s="13" t="s">
        <v>63</v>
      </c>
      <c r="C57" s="12" t="s">
        <v>65</v>
      </c>
      <c r="D57" s="14">
        <f>'Raw Data'!C5</f>
        <v>67445</v>
      </c>
    </row>
    <row r="58" ht="15.75" customHeight="1">
      <c r="A58" s="12" t="s">
        <v>16</v>
      </c>
      <c r="B58" s="13" t="s">
        <v>63</v>
      </c>
      <c r="C58" s="12" t="s">
        <v>66</v>
      </c>
      <c r="D58" s="14">
        <f>IF('Raw Data'!B5&gt;0, 'Raw Data'!C5/'Raw Data'!B5, 0)</f>
        <v>1.090460792</v>
      </c>
    </row>
    <row r="59" ht="15.75" customHeight="1">
      <c r="A59" s="12" t="s">
        <v>16</v>
      </c>
      <c r="B59" s="13" t="s">
        <v>67</v>
      </c>
      <c r="C59" s="12" t="s">
        <v>64</v>
      </c>
      <c r="D59" s="14">
        <f>'Raw Data'!D5</f>
        <v>48150</v>
      </c>
    </row>
    <row r="60" ht="15.75" customHeight="1">
      <c r="A60" s="9" t="s">
        <v>16</v>
      </c>
      <c r="B60" s="10" t="s">
        <v>67</v>
      </c>
      <c r="C60" s="9" t="s">
        <v>65</v>
      </c>
      <c r="D60" s="11">
        <f>'Raw Data'!E5</f>
        <v>69450</v>
      </c>
    </row>
    <row r="61" ht="15.75" customHeight="1">
      <c r="A61" s="9" t="s">
        <v>16</v>
      </c>
      <c r="B61" s="10" t="s">
        <v>67</v>
      </c>
      <c r="C61" s="9" t="s">
        <v>66</v>
      </c>
      <c r="D61" s="11">
        <f>IF('Raw Data'!D5&gt;0, 'Raw Data'!E5/'Raw Data'!D5, 0)</f>
        <v>1.442367601</v>
      </c>
    </row>
    <row r="62" ht="15.75" customHeight="1">
      <c r="A62" s="9" t="s">
        <v>16</v>
      </c>
      <c r="B62" s="10" t="s">
        <v>68</v>
      </c>
      <c r="C62" s="9" t="s">
        <v>64</v>
      </c>
      <c r="D62" s="11">
        <f>'Raw Data'!F5</f>
        <v>33810</v>
      </c>
    </row>
    <row r="63" ht="15.75" customHeight="1">
      <c r="A63" s="12" t="s">
        <v>16</v>
      </c>
      <c r="B63" s="13" t="s">
        <v>68</v>
      </c>
      <c r="C63" s="12" t="s">
        <v>65</v>
      </c>
      <c r="D63" s="14">
        <f>'Raw Data'!G5</f>
        <v>42028</v>
      </c>
    </row>
    <row r="64" ht="15.75" customHeight="1">
      <c r="A64" s="12" t="s">
        <v>16</v>
      </c>
      <c r="B64" s="13" t="s">
        <v>68</v>
      </c>
      <c r="C64" s="12" t="s">
        <v>66</v>
      </c>
      <c r="D64" s="14">
        <f>IF('Raw Data'!F5&gt;0, 'Raw Data'!G5/'Raw Data'!F5, 0)</f>
        <v>1.243064182</v>
      </c>
    </row>
    <row r="65" ht="15.75" customHeight="1">
      <c r="A65" s="12" t="s">
        <v>16</v>
      </c>
      <c r="B65" s="13" t="s">
        <v>69</v>
      </c>
      <c r="C65" s="12" t="s">
        <v>64</v>
      </c>
      <c r="D65" s="14">
        <f>'Raw Data'!H5</f>
        <v>42476</v>
      </c>
    </row>
    <row r="66" ht="15.75" customHeight="1">
      <c r="A66" s="9" t="s">
        <v>16</v>
      </c>
      <c r="B66" s="10" t="s">
        <v>69</v>
      </c>
      <c r="C66" s="9" t="s">
        <v>65</v>
      </c>
      <c r="D66" s="11">
        <f>'Raw Data'!I5</f>
        <v>64360</v>
      </c>
    </row>
    <row r="67" ht="15.75" customHeight="1">
      <c r="A67" s="9" t="s">
        <v>16</v>
      </c>
      <c r="B67" s="10" t="s">
        <v>69</v>
      </c>
      <c r="C67" s="9" t="s">
        <v>66</v>
      </c>
      <c r="D67" s="11">
        <f>IF('Raw Data'!H5&gt;0, 'Raw Data'!I5/'Raw Data'!H5, 0)</f>
        <v>1.515208588</v>
      </c>
    </row>
    <row r="68" ht="15.75" customHeight="1">
      <c r="A68" s="9" t="s">
        <v>16</v>
      </c>
      <c r="B68" s="10" t="s">
        <v>70</v>
      </c>
      <c r="C68" s="9" t="s">
        <v>64</v>
      </c>
      <c r="D68" s="11">
        <f>'Raw Data'!J5</f>
        <v>44097</v>
      </c>
    </row>
    <row r="69" ht="15.75" customHeight="1">
      <c r="A69" s="12" t="s">
        <v>16</v>
      </c>
      <c r="B69" s="13" t="s">
        <v>70</v>
      </c>
      <c r="C69" s="12" t="s">
        <v>65</v>
      </c>
      <c r="D69" s="14">
        <f>'Raw Data'!K5</f>
        <v>71237</v>
      </c>
    </row>
    <row r="70" ht="15.75" customHeight="1">
      <c r="A70" s="12" t="s">
        <v>16</v>
      </c>
      <c r="B70" s="13" t="s">
        <v>70</v>
      </c>
      <c r="C70" s="12" t="s">
        <v>66</v>
      </c>
      <c r="D70" s="14">
        <f>IF('Raw Data'!J5&gt;0, 'Raw Data'!K5/'Raw Data'!J5, 0)</f>
        <v>1.615461369</v>
      </c>
    </row>
    <row r="71" ht="15.75" customHeight="1">
      <c r="A71" s="12" t="s">
        <v>16</v>
      </c>
      <c r="B71" s="16">
        <v>2024.0</v>
      </c>
      <c r="C71" s="12" t="s">
        <v>64</v>
      </c>
      <c r="D71" s="14">
        <f>'Raw Data'!L5</f>
        <v>44204</v>
      </c>
    </row>
    <row r="72" ht="15.75" customHeight="1">
      <c r="A72" s="9" t="s">
        <v>16</v>
      </c>
      <c r="B72" s="17">
        <v>2024.0</v>
      </c>
      <c r="C72" s="9" t="s">
        <v>65</v>
      </c>
      <c r="D72" s="11">
        <f>'Raw Data'!M5</f>
        <v>77934</v>
      </c>
    </row>
    <row r="73" ht="15.75" customHeight="1">
      <c r="A73" s="9" t="s">
        <v>16</v>
      </c>
      <c r="B73" s="17">
        <v>2024.0</v>
      </c>
      <c r="C73" s="9" t="s">
        <v>66</v>
      </c>
      <c r="D73" s="11">
        <f>IF('Raw Data'!L5&gt;0, 'Raw Data'!M5/'Raw Data'!L5, 0)</f>
        <v>1.763053117</v>
      </c>
    </row>
    <row r="74" ht="15.75" customHeight="1">
      <c r="A74" s="9" t="s">
        <v>17</v>
      </c>
      <c r="B74" s="10" t="s">
        <v>63</v>
      </c>
      <c r="C74" s="9" t="s">
        <v>64</v>
      </c>
      <c r="D74" s="11">
        <f>'Raw Data'!B6</f>
        <v>31779</v>
      </c>
    </row>
    <row r="75" ht="15.75" customHeight="1">
      <c r="A75" s="12" t="s">
        <v>17</v>
      </c>
      <c r="B75" s="13" t="s">
        <v>63</v>
      </c>
      <c r="C75" s="12" t="s">
        <v>65</v>
      </c>
      <c r="D75" s="14">
        <f>'Raw Data'!C6</f>
        <v>104487</v>
      </c>
    </row>
    <row r="76" ht="15.75" customHeight="1">
      <c r="A76" s="12" t="s">
        <v>17</v>
      </c>
      <c r="B76" s="13" t="s">
        <v>63</v>
      </c>
      <c r="C76" s="12" t="s">
        <v>66</v>
      </c>
      <c r="D76" s="14">
        <f>IF('Raw Data'!B6&gt;0, 'Raw Data'!C6/'Raw Data'!B6, 0)</f>
        <v>3.287925989</v>
      </c>
    </row>
    <row r="77" ht="15.75" customHeight="1">
      <c r="A77" s="12" t="s">
        <v>17</v>
      </c>
      <c r="B77" s="13" t="s">
        <v>67</v>
      </c>
      <c r="C77" s="12" t="s">
        <v>64</v>
      </c>
      <c r="D77" s="14">
        <f>'Raw Data'!D6</f>
        <v>25856</v>
      </c>
    </row>
    <row r="78" ht="15.75" customHeight="1">
      <c r="A78" s="9" t="s">
        <v>17</v>
      </c>
      <c r="B78" s="10" t="s">
        <v>67</v>
      </c>
      <c r="C78" s="9" t="s">
        <v>65</v>
      </c>
      <c r="D78" s="11">
        <f>'Raw Data'!E6</f>
        <v>87431</v>
      </c>
    </row>
    <row r="79" ht="15.75" customHeight="1">
      <c r="A79" s="9" t="s">
        <v>17</v>
      </c>
      <c r="B79" s="10" t="s">
        <v>67</v>
      </c>
      <c r="C79" s="9" t="s">
        <v>66</v>
      </c>
      <c r="D79" s="11">
        <f>IF('Raw Data'!D6&gt;0, 'Raw Data'!E6/'Raw Data'!D6, 0)</f>
        <v>3.381458849</v>
      </c>
    </row>
    <row r="80" ht="15.75" customHeight="1">
      <c r="A80" s="9" t="s">
        <v>17</v>
      </c>
      <c r="B80" s="10" t="s">
        <v>68</v>
      </c>
      <c r="C80" s="9" t="s">
        <v>64</v>
      </c>
      <c r="D80" s="11">
        <f>'Raw Data'!F6</f>
        <v>31351</v>
      </c>
    </row>
    <row r="81" ht="15.75" customHeight="1">
      <c r="A81" s="12" t="s">
        <v>17</v>
      </c>
      <c r="B81" s="13" t="s">
        <v>68</v>
      </c>
      <c r="C81" s="12" t="s">
        <v>65</v>
      </c>
      <c r="D81" s="14">
        <f>'Raw Data'!G6</f>
        <v>86007</v>
      </c>
    </row>
    <row r="82" ht="15.75" customHeight="1">
      <c r="A82" s="12" t="s">
        <v>17</v>
      </c>
      <c r="B82" s="13" t="s">
        <v>68</v>
      </c>
      <c r="C82" s="12" t="s">
        <v>66</v>
      </c>
      <c r="D82" s="14">
        <f>IF('Raw Data'!F6&gt;0, 'Raw Data'!G6/'Raw Data'!F6, 0)</f>
        <v>2.743357469</v>
      </c>
    </row>
    <row r="83" ht="15.75" customHeight="1">
      <c r="A83" s="12" t="s">
        <v>17</v>
      </c>
      <c r="B83" s="13" t="s">
        <v>69</v>
      </c>
      <c r="C83" s="12" t="s">
        <v>64</v>
      </c>
      <c r="D83" s="14">
        <f>'Raw Data'!H6</f>
        <v>31713</v>
      </c>
    </row>
    <row r="84" ht="15.75" customHeight="1">
      <c r="A84" s="9" t="s">
        <v>17</v>
      </c>
      <c r="B84" s="10" t="s">
        <v>69</v>
      </c>
      <c r="C84" s="9" t="s">
        <v>65</v>
      </c>
      <c r="D84" s="11">
        <f>'Raw Data'!I6</f>
        <v>72330</v>
      </c>
    </row>
    <row r="85" ht="15.75" customHeight="1">
      <c r="A85" s="9" t="s">
        <v>17</v>
      </c>
      <c r="B85" s="10" t="s">
        <v>69</v>
      </c>
      <c r="C85" s="9" t="s">
        <v>66</v>
      </c>
      <c r="D85" s="11">
        <f>IF('Raw Data'!H6&gt;0, 'Raw Data'!I6/'Raw Data'!H6, 0)</f>
        <v>2.280768139</v>
      </c>
    </row>
    <row r="86" ht="15.75" customHeight="1">
      <c r="A86" s="9" t="s">
        <v>17</v>
      </c>
      <c r="B86" s="10" t="s">
        <v>70</v>
      </c>
      <c r="C86" s="9" t="s">
        <v>64</v>
      </c>
      <c r="D86" s="11">
        <f>'Raw Data'!J6</f>
        <v>43133</v>
      </c>
    </row>
    <row r="87" ht="15.75" customHeight="1">
      <c r="A87" s="12" t="s">
        <v>17</v>
      </c>
      <c r="B87" s="13" t="s">
        <v>70</v>
      </c>
      <c r="C87" s="12" t="s">
        <v>65</v>
      </c>
      <c r="D87" s="14">
        <f>'Raw Data'!K6</f>
        <v>150221</v>
      </c>
    </row>
    <row r="88" ht="15.75" customHeight="1">
      <c r="A88" s="12" t="s">
        <v>17</v>
      </c>
      <c r="B88" s="13" t="s">
        <v>70</v>
      </c>
      <c r="C88" s="12" t="s">
        <v>66</v>
      </c>
      <c r="D88" s="14">
        <f>IF('Raw Data'!J6&gt;0, 'Raw Data'!K6/'Raw Data'!J6, 0)</f>
        <v>3.482739434</v>
      </c>
    </row>
    <row r="89" ht="15.75" customHeight="1">
      <c r="A89" s="12" t="s">
        <v>17</v>
      </c>
      <c r="B89" s="16">
        <v>2024.0</v>
      </c>
      <c r="C89" s="12" t="s">
        <v>64</v>
      </c>
      <c r="D89" s="14">
        <f>'Raw Data'!L6</f>
        <v>42182</v>
      </c>
    </row>
    <row r="90" ht="15.75" customHeight="1">
      <c r="A90" s="9" t="s">
        <v>17</v>
      </c>
      <c r="B90" s="17">
        <v>2024.0</v>
      </c>
      <c r="C90" s="9" t="s">
        <v>65</v>
      </c>
      <c r="D90" s="11">
        <f>'Raw Data'!M6</f>
        <v>117786</v>
      </c>
    </row>
    <row r="91" ht="15.75" customHeight="1">
      <c r="A91" s="9" t="s">
        <v>17</v>
      </c>
      <c r="B91" s="17">
        <v>2024.0</v>
      </c>
      <c r="C91" s="9" t="s">
        <v>66</v>
      </c>
      <c r="D91" s="11">
        <f>IF('Raw Data'!L6&gt;0, 'Raw Data'!M6/'Raw Data'!L6, 0)</f>
        <v>2.792328481</v>
      </c>
    </row>
    <row r="92" ht="15.75" customHeight="1">
      <c r="A92" s="9" t="s">
        <v>18</v>
      </c>
      <c r="B92" s="10" t="s">
        <v>63</v>
      </c>
      <c r="C92" s="9" t="s">
        <v>64</v>
      </c>
      <c r="D92" s="11">
        <f>'Raw Data'!B7</f>
        <v>34100</v>
      </c>
    </row>
    <row r="93" ht="15.75" customHeight="1">
      <c r="A93" s="12" t="s">
        <v>18</v>
      </c>
      <c r="B93" s="13" t="s">
        <v>63</v>
      </c>
      <c r="C93" s="12" t="s">
        <v>65</v>
      </c>
      <c r="D93" s="14">
        <f>'Raw Data'!C7</f>
        <v>28368</v>
      </c>
    </row>
    <row r="94" ht="15.75" customHeight="1">
      <c r="A94" s="12" t="s">
        <v>18</v>
      </c>
      <c r="B94" s="13" t="s">
        <v>63</v>
      </c>
      <c r="C94" s="12" t="s">
        <v>66</v>
      </c>
      <c r="D94" s="14">
        <f>IF('Raw Data'!B7&gt;0, 'Raw Data'!C7/'Raw Data'!B7, 0)</f>
        <v>0.8319061584</v>
      </c>
    </row>
    <row r="95" ht="15.75" customHeight="1">
      <c r="A95" s="12" t="s">
        <v>18</v>
      </c>
      <c r="B95" s="13" t="s">
        <v>67</v>
      </c>
      <c r="C95" s="12" t="s">
        <v>64</v>
      </c>
      <c r="D95" s="14">
        <f>'Raw Data'!D7</f>
        <v>35130</v>
      </c>
    </row>
    <row r="96" ht="15.75" customHeight="1">
      <c r="A96" s="9" t="s">
        <v>18</v>
      </c>
      <c r="B96" s="10" t="s">
        <v>67</v>
      </c>
      <c r="C96" s="9" t="s">
        <v>65</v>
      </c>
      <c r="D96" s="11">
        <f>'Raw Data'!E7</f>
        <v>34650</v>
      </c>
    </row>
    <row r="97" ht="15.75" customHeight="1">
      <c r="A97" s="9" t="s">
        <v>18</v>
      </c>
      <c r="B97" s="10" t="s">
        <v>67</v>
      </c>
      <c r="C97" s="9" t="s">
        <v>66</v>
      </c>
      <c r="D97" s="11">
        <f>IF('Raw Data'!D7&gt;0, 'Raw Data'!E7/'Raw Data'!D7, 0)</f>
        <v>0.9863364646</v>
      </c>
    </row>
    <row r="98" ht="15.75" customHeight="1">
      <c r="A98" s="9" t="s">
        <v>18</v>
      </c>
      <c r="B98" s="10" t="s">
        <v>68</v>
      </c>
      <c r="C98" s="9" t="s">
        <v>64</v>
      </c>
      <c r="D98" s="11">
        <f>'Raw Data'!F7</f>
        <v>35925</v>
      </c>
    </row>
    <row r="99" ht="15.75" customHeight="1">
      <c r="A99" s="12" t="s">
        <v>18</v>
      </c>
      <c r="B99" s="13" t="s">
        <v>68</v>
      </c>
      <c r="C99" s="12" t="s">
        <v>65</v>
      </c>
      <c r="D99" s="14">
        <f>'Raw Data'!G7</f>
        <v>31378</v>
      </c>
    </row>
    <row r="100" ht="15.75" customHeight="1">
      <c r="A100" s="12" t="s">
        <v>18</v>
      </c>
      <c r="B100" s="13" t="s">
        <v>68</v>
      </c>
      <c r="C100" s="12" t="s">
        <v>66</v>
      </c>
      <c r="D100" s="14">
        <f>IF('Raw Data'!F7&gt;0, 'Raw Data'!G7/'Raw Data'!F7, 0)</f>
        <v>0.8734307585</v>
      </c>
    </row>
    <row r="101" ht="15.75" customHeight="1">
      <c r="A101" s="12" t="s">
        <v>18</v>
      </c>
      <c r="B101" s="13" t="s">
        <v>69</v>
      </c>
      <c r="C101" s="12" t="s">
        <v>64</v>
      </c>
      <c r="D101" s="14">
        <f>'Raw Data'!H7</f>
        <v>34506</v>
      </c>
    </row>
    <row r="102" ht="15.75" customHeight="1">
      <c r="A102" s="9" t="s">
        <v>18</v>
      </c>
      <c r="B102" s="10" t="s">
        <v>69</v>
      </c>
      <c r="C102" s="9" t="s">
        <v>65</v>
      </c>
      <c r="D102" s="11">
        <f>'Raw Data'!I7</f>
        <v>10077</v>
      </c>
    </row>
    <row r="103" ht="15.75" customHeight="1">
      <c r="A103" s="9" t="s">
        <v>18</v>
      </c>
      <c r="B103" s="10" t="s">
        <v>69</v>
      </c>
      <c r="C103" s="9" t="s">
        <v>66</v>
      </c>
      <c r="D103" s="11">
        <f>IF('Raw Data'!H7&gt;0, 'Raw Data'!I7/'Raw Data'!H7, 0)</f>
        <v>0.2920361676</v>
      </c>
    </row>
    <row r="104" ht="15.75" customHeight="1">
      <c r="A104" s="9" t="s">
        <v>18</v>
      </c>
      <c r="B104" s="10" t="s">
        <v>70</v>
      </c>
      <c r="C104" s="9" t="s">
        <v>64</v>
      </c>
      <c r="D104" s="11">
        <f>'Raw Data'!J7</f>
        <v>34500</v>
      </c>
    </row>
    <row r="105" ht="15.75" customHeight="1">
      <c r="A105" s="12" t="s">
        <v>18</v>
      </c>
      <c r="B105" s="13" t="s">
        <v>70</v>
      </c>
      <c r="C105" s="12" t="s">
        <v>65</v>
      </c>
      <c r="D105" s="14">
        <f>'Raw Data'!K7</f>
        <v>41327</v>
      </c>
    </row>
    <row r="106" ht="15.75" customHeight="1">
      <c r="A106" s="12" t="s">
        <v>18</v>
      </c>
      <c r="B106" s="13" t="s">
        <v>70</v>
      </c>
      <c r="C106" s="12" t="s">
        <v>66</v>
      </c>
      <c r="D106" s="14">
        <f>IF('Raw Data'!J7&gt;0, 'Raw Data'!K7/'Raw Data'!J7, 0)</f>
        <v>1.197884058</v>
      </c>
    </row>
    <row r="107" ht="15.75" customHeight="1">
      <c r="A107" s="12" t="s">
        <v>18</v>
      </c>
      <c r="B107" s="16">
        <v>2024.0</v>
      </c>
      <c r="C107" s="12" t="s">
        <v>64</v>
      </c>
      <c r="D107" s="14">
        <f>'Raw Data'!L7</f>
        <v>34750</v>
      </c>
    </row>
    <row r="108" ht="15.75" customHeight="1">
      <c r="A108" s="9" t="s">
        <v>18</v>
      </c>
      <c r="B108" s="17">
        <v>2024.0</v>
      </c>
      <c r="C108" s="9" t="s">
        <v>65</v>
      </c>
      <c r="D108" s="11">
        <f>'Raw Data'!M7</f>
        <v>25659</v>
      </c>
    </row>
    <row r="109" ht="15.75" customHeight="1">
      <c r="A109" s="9" t="s">
        <v>18</v>
      </c>
      <c r="B109" s="17">
        <v>2024.0</v>
      </c>
      <c r="C109" s="9" t="s">
        <v>66</v>
      </c>
      <c r="D109" s="11">
        <f>IF('Raw Data'!L7&gt;0, 'Raw Data'!M7/'Raw Data'!L7, 0)</f>
        <v>0.7383884892</v>
      </c>
    </row>
    <row r="110" ht="15.75" customHeight="1">
      <c r="A110" s="9" t="s">
        <v>19</v>
      </c>
      <c r="B110" s="10" t="s">
        <v>63</v>
      </c>
      <c r="C110" s="9" t="s">
        <v>64</v>
      </c>
      <c r="D110" s="11">
        <f>'Raw Data'!B8</f>
        <v>150</v>
      </c>
    </row>
    <row r="111" ht="15.75" customHeight="1">
      <c r="A111" s="12" t="s">
        <v>19</v>
      </c>
      <c r="B111" s="13" t="s">
        <v>63</v>
      </c>
      <c r="C111" s="12" t="s">
        <v>65</v>
      </c>
      <c r="D111" s="14">
        <f>'Raw Data'!C8</f>
        <v>109</v>
      </c>
    </row>
    <row r="112" ht="15.75" customHeight="1">
      <c r="A112" s="12" t="s">
        <v>19</v>
      </c>
      <c r="B112" s="13" t="s">
        <v>63</v>
      </c>
      <c r="C112" s="12" t="s">
        <v>66</v>
      </c>
      <c r="D112" s="14">
        <f>IF('Raw Data'!B8&gt;0, 'Raw Data'!C8/'Raw Data'!B8, 0)</f>
        <v>0.7266666667</v>
      </c>
    </row>
    <row r="113" ht="15.75" customHeight="1">
      <c r="A113" s="12" t="s">
        <v>19</v>
      </c>
      <c r="B113" s="13" t="s">
        <v>67</v>
      </c>
      <c r="C113" s="12" t="s">
        <v>64</v>
      </c>
      <c r="D113" s="14">
        <f>'Raw Data'!D8</f>
        <v>238</v>
      </c>
    </row>
    <row r="114" ht="15.75" customHeight="1">
      <c r="A114" s="9" t="s">
        <v>19</v>
      </c>
      <c r="B114" s="10" t="s">
        <v>67</v>
      </c>
      <c r="C114" s="9" t="s">
        <v>65</v>
      </c>
      <c r="D114" s="11">
        <f>'Raw Data'!E8</f>
        <v>296</v>
      </c>
    </row>
    <row r="115" ht="15.75" customHeight="1">
      <c r="A115" s="9" t="s">
        <v>19</v>
      </c>
      <c r="B115" s="10" t="s">
        <v>67</v>
      </c>
      <c r="C115" s="9" t="s">
        <v>66</v>
      </c>
      <c r="D115" s="11">
        <f>IF('Raw Data'!D8&gt;0, 'Raw Data'!E8/'Raw Data'!D8, 0)</f>
        <v>1.243697479</v>
      </c>
    </row>
    <row r="116" ht="15.75" customHeight="1">
      <c r="A116" s="9" t="s">
        <v>19</v>
      </c>
      <c r="B116" s="10" t="s">
        <v>68</v>
      </c>
      <c r="C116" s="9" t="s">
        <v>64</v>
      </c>
      <c r="D116" s="11">
        <f>'Raw Data'!F8</f>
        <v>145</v>
      </c>
    </row>
    <row r="117" ht="15.75" customHeight="1">
      <c r="A117" s="12" t="s">
        <v>19</v>
      </c>
      <c r="B117" s="13" t="s">
        <v>68</v>
      </c>
      <c r="C117" s="12" t="s">
        <v>65</v>
      </c>
      <c r="D117" s="14">
        <f>'Raw Data'!G8</f>
        <v>71</v>
      </c>
    </row>
    <row r="118" ht="15.75" customHeight="1">
      <c r="A118" s="12" t="s">
        <v>19</v>
      </c>
      <c r="B118" s="13" t="s">
        <v>68</v>
      </c>
      <c r="C118" s="12" t="s">
        <v>66</v>
      </c>
      <c r="D118" s="14">
        <f>IF('Raw Data'!F8&gt;0, 'Raw Data'!G8/'Raw Data'!F8, 0)</f>
        <v>0.4896551724</v>
      </c>
    </row>
    <row r="119" ht="15.75" customHeight="1">
      <c r="A119" s="12" t="s">
        <v>19</v>
      </c>
      <c r="B119" s="13" t="s">
        <v>69</v>
      </c>
      <c r="C119" s="12" t="s">
        <v>64</v>
      </c>
      <c r="D119" s="14">
        <f>'Raw Data'!H8</f>
        <v>107</v>
      </c>
    </row>
    <row r="120" ht="15.75" customHeight="1">
      <c r="A120" s="9" t="s">
        <v>19</v>
      </c>
      <c r="B120" s="10" t="s">
        <v>69</v>
      </c>
      <c r="C120" s="9" t="s">
        <v>65</v>
      </c>
      <c r="D120" s="11">
        <f>'Raw Data'!I8</f>
        <v>70</v>
      </c>
    </row>
    <row r="121" ht="15.75" customHeight="1">
      <c r="A121" s="9" t="s">
        <v>19</v>
      </c>
      <c r="B121" s="10" t="s">
        <v>69</v>
      </c>
      <c r="C121" s="9" t="s">
        <v>66</v>
      </c>
      <c r="D121" s="11">
        <f>IF('Raw Data'!H8&gt;0, 'Raw Data'!I8/'Raw Data'!H8, 0)</f>
        <v>0.6542056075</v>
      </c>
    </row>
    <row r="122" ht="15.75" customHeight="1">
      <c r="A122" s="9" t="s">
        <v>19</v>
      </c>
      <c r="B122" s="10" t="s">
        <v>70</v>
      </c>
      <c r="C122" s="9" t="s">
        <v>64</v>
      </c>
      <c r="D122" s="11">
        <f>'Raw Data'!J8</f>
        <v>142</v>
      </c>
    </row>
    <row r="123" ht="15.75" customHeight="1">
      <c r="A123" s="12" t="s">
        <v>19</v>
      </c>
      <c r="B123" s="13" t="s">
        <v>70</v>
      </c>
      <c r="C123" s="12" t="s">
        <v>65</v>
      </c>
      <c r="D123" s="14">
        <f>'Raw Data'!K8</f>
        <v>132</v>
      </c>
    </row>
    <row r="124" ht="15.75" customHeight="1">
      <c r="A124" s="12" t="s">
        <v>19</v>
      </c>
      <c r="B124" s="13" t="s">
        <v>70</v>
      </c>
      <c r="C124" s="12" t="s">
        <v>66</v>
      </c>
      <c r="D124" s="14">
        <f>IF('Raw Data'!J8&gt;0, 'Raw Data'!K8/'Raw Data'!J8, 0)</f>
        <v>0.9295774648</v>
      </c>
    </row>
    <row r="125" ht="15.75" customHeight="1">
      <c r="A125" s="12" t="s">
        <v>19</v>
      </c>
      <c r="B125" s="16">
        <v>2024.0</v>
      </c>
      <c r="C125" s="12" t="s">
        <v>64</v>
      </c>
      <c r="D125" s="14">
        <f>'Raw Data'!L8</f>
        <v>222</v>
      </c>
    </row>
    <row r="126" ht="15.75" customHeight="1">
      <c r="A126" s="9" t="s">
        <v>19</v>
      </c>
      <c r="B126" s="17">
        <v>2024.0</v>
      </c>
      <c r="C126" s="9" t="s">
        <v>65</v>
      </c>
      <c r="D126" s="11">
        <f>'Raw Data'!M8</f>
        <v>382</v>
      </c>
    </row>
    <row r="127" ht="15.75" customHeight="1">
      <c r="A127" s="9" t="s">
        <v>19</v>
      </c>
      <c r="B127" s="17">
        <v>2024.0</v>
      </c>
      <c r="C127" s="9" t="s">
        <v>66</v>
      </c>
      <c r="D127" s="11">
        <f>IF('Raw Data'!L8&gt;0, 'Raw Data'!M8/'Raw Data'!L8, 0)</f>
        <v>1.720720721</v>
      </c>
    </row>
    <row r="128" ht="15.75" customHeight="1">
      <c r="A128" s="9" t="s">
        <v>20</v>
      </c>
      <c r="B128" s="10" t="s">
        <v>63</v>
      </c>
      <c r="C128" s="9" t="s">
        <v>64</v>
      </c>
      <c r="D128" s="11">
        <f>'Raw Data'!B9</f>
        <v>72793</v>
      </c>
    </row>
    <row r="129" ht="15.75" customHeight="1">
      <c r="A129" s="12" t="s">
        <v>20</v>
      </c>
      <c r="B129" s="13" t="s">
        <v>63</v>
      </c>
      <c r="C129" s="12" t="s">
        <v>65</v>
      </c>
      <c r="D129" s="14">
        <f>'Raw Data'!C9</f>
        <v>102742</v>
      </c>
    </row>
    <row r="130" ht="15.75" customHeight="1">
      <c r="A130" s="12" t="s">
        <v>20</v>
      </c>
      <c r="B130" s="13" t="s">
        <v>63</v>
      </c>
      <c r="C130" s="12" t="s">
        <v>66</v>
      </c>
      <c r="D130" s="14">
        <f>IF('Raw Data'!B9&gt;0, 'Raw Data'!C9/'Raw Data'!B9, 0)</f>
        <v>1.411426923</v>
      </c>
    </row>
    <row r="131" ht="15.75" customHeight="1">
      <c r="A131" s="12" t="s">
        <v>20</v>
      </c>
      <c r="B131" s="13" t="s">
        <v>67</v>
      </c>
      <c r="C131" s="12" t="s">
        <v>64</v>
      </c>
      <c r="D131" s="14">
        <f>'Raw Data'!D9</f>
        <v>72097</v>
      </c>
    </row>
    <row r="132" ht="15.75" customHeight="1">
      <c r="A132" s="9" t="s">
        <v>20</v>
      </c>
      <c r="B132" s="10" t="s">
        <v>67</v>
      </c>
      <c r="C132" s="9" t="s">
        <v>65</v>
      </c>
      <c r="D132" s="11">
        <f>'Raw Data'!E9</f>
        <v>92394</v>
      </c>
    </row>
    <row r="133" ht="15.75" customHeight="1">
      <c r="A133" s="9" t="s">
        <v>20</v>
      </c>
      <c r="B133" s="10" t="s">
        <v>67</v>
      </c>
      <c r="C133" s="9" t="s">
        <v>66</v>
      </c>
      <c r="D133" s="11">
        <f>IF('Raw Data'!D9&gt;0, 'Raw Data'!E9/'Raw Data'!D9, 0)</f>
        <v>1.281523503</v>
      </c>
    </row>
    <row r="134" ht="15.75" customHeight="1">
      <c r="A134" s="9" t="s">
        <v>20</v>
      </c>
      <c r="B134" s="10" t="s">
        <v>68</v>
      </c>
      <c r="C134" s="9" t="s">
        <v>64</v>
      </c>
      <c r="D134" s="11">
        <f>'Raw Data'!F9</f>
        <v>79608</v>
      </c>
    </row>
    <row r="135" ht="15.75" customHeight="1">
      <c r="A135" s="12" t="s">
        <v>20</v>
      </c>
      <c r="B135" s="13" t="s">
        <v>68</v>
      </c>
      <c r="C135" s="12" t="s">
        <v>65</v>
      </c>
      <c r="D135" s="14">
        <f>'Raw Data'!G9</f>
        <v>82278</v>
      </c>
    </row>
    <row r="136" ht="15.75" customHeight="1">
      <c r="A136" s="12" t="s">
        <v>20</v>
      </c>
      <c r="B136" s="13" t="s">
        <v>68</v>
      </c>
      <c r="C136" s="12" t="s">
        <v>66</v>
      </c>
      <c r="D136" s="14">
        <f>IF('Raw Data'!F9&gt;0, 'Raw Data'!G9/'Raw Data'!F9, 0)</f>
        <v>1.033539343</v>
      </c>
    </row>
    <row r="137" ht="15.75" customHeight="1">
      <c r="A137" s="12" t="s">
        <v>20</v>
      </c>
      <c r="B137" s="13" t="s">
        <v>69</v>
      </c>
      <c r="C137" s="12" t="s">
        <v>64</v>
      </c>
      <c r="D137" s="14">
        <f>'Raw Data'!H9</f>
        <v>72215</v>
      </c>
    </row>
    <row r="138" ht="15.75" customHeight="1">
      <c r="A138" s="9" t="s">
        <v>20</v>
      </c>
      <c r="B138" s="10" t="s">
        <v>69</v>
      </c>
      <c r="C138" s="9" t="s">
        <v>65</v>
      </c>
      <c r="D138" s="11">
        <f>'Raw Data'!I9</f>
        <v>86658</v>
      </c>
    </row>
    <row r="139" ht="15.75" customHeight="1">
      <c r="A139" s="9" t="s">
        <v>20</v>
      </c>
      <c r="B139" s="10" t="s">
        <v>69</v>
      </c>
      <c r="C139" s="9" t="s">
        <v>66</v>
      </c>
      <c r="D139" s="11">
        <f>IF('Raw Data'!H9&gt;0, 'Raw Data'!I9/'Raw Data'!H9, 0)</f>
        <v>1.2</v>
      </c>
    </row>
    <row r="140" ht="15.75" customHeight="1">
      <c r="A140" s="9" t="s">
        <v>20</v>
      </c>
      <c r="B140" s="10" t="s">
        <v>70</v>
      </c>
      <c r="C140" s="9" t="s">
        <v>64</v>
      </c>
      <c r="D140" s="11">
        <f>'Raw Data'!J9</f>
        <v>78795</v>
      </c>
    </row>
    <row r="141" ht="15.75" customHeight="1">
      <c r="A141" s="12" t="s">
        <v>20</v>
      </c>
      <c r="B141" s="13" t="s">
        <v>70</v>
      </c>
      <c r="C141" s="12" t="s">
        <v>65</v>
      </c>
      <c r="D141" s="14">
        <f>'Raw Data'!K9</f>
        <v>115635</v>
      </c>
    </row>
    <row r="142" ht="15.75" customHeight="1">
      <c r="A142" s="12" t="s">
        <v>20</v>
      </c>
      <c r="B142" s="13" t="s">
        <v>70</v>
      </c>
      <c r="C142" s="12" t="s">
        <v>66</v>
      </c>
      <c r="D142" s="14">
        <f>IF('Raw Data'!J9&gt;0, 'Raw Data'!K9/'Raw Data'!J9, 0)</f>
        <v>1.467542357</v>
      </c>
    </row>
    <row r="143" ht="15.75" customHeight="1">
      <c r="A143" s="12" t="s">
        <v>20</v>
      </c>
      <c r="B143" s="16">
        <v>2024.0</v>
      </c>
      <c r="C143" s="12" t="s">
        <v>64</v>
      </c>
      <c r="D143" s="14">
        <f>'Raw Data'!L9</f>
        <v>89172</v>
      </c>
    </row>
    <row r="144" ht="15.75" customHeight="1">
      <c r="A144" s="9" t="s">
        <v>20</v>
      </c>
      <c r="B144" s="17">
        <v>2024.0</v>
      </c>
      <c r="C144" s="9" t="s">
        <v>65</v>
      </c>
      <c r="D144" s="11">
        <f>'Raw Data'!M9</f>
        <v>146866</v>
      </c>
    </row>
    <row r="145" ht="15.75" customHeight="1">
      <c r="A145" s="9" t="s">
        <v>20</v>
      </c>
      <c r="B145" s="17">
        <v>2024.0</v>
      </c>
      <c r="C145" s="9" t="s">
        <v>66</v>
      </c>
      <c r="D145" s="11">
        <f>IF('Raw Data'!L9&gt;0, 'Raw Data'!M9/'Raw Data'!L9, 0)</f>
        <v>1.646996815</v>
      </c>
    </row>
    <row r="146" ht="15.75" customHeight="1">
      <c r="A146" s="9" t="s">
        <v>21</v>
      </c>
      <c r="B146" s="10" t="s">
        <v>63</v>
      </c>
      <c r="C146" s="9" t="s">
        <v>64</v>
      </c>
      <c r="D146" s="11">
        <f>'Raw Data'!B10</f>
        <v>530</v>
      </c>
    </row>
    <row r="147" ht="15.75" customHeight="1">
      <c r="A147" s="12" t="s">
        <v>21</v>
      </c>
      <c r="B147" s="13" t="s">
        <v>63</v>
      </c>
      <c r="C147" s="12" t="s">
        <v>65</v>
      </c>
      <c r="D147" s="14">
        <f>'Raw Data'!C10</f>
        <v>749</v>
      </c>
    </row>
    <row r="148" ht="15.75" customHeight="1">
      <c r="A148" s="12" t="s">
        <v>21</v>
      </c>
      <c r="B148" s="13" t="s">
        <v>63</v>
      </c>
      <c r="C148" s="12" t="s">
        <v>66</v>
      </c>
      <c r="D148" s="14">
        <f>IF('Raw Data'!B10&gt;0, 'Raw Data'!C10/'Raw Data'!B10, 0)</f>
        <v>1.413207547</v>
      </c>
    </row>
    <row r="149" ht="15.75" customHeight="1">
      <c r="A149" s="12" t="s">
        <v>21</v>
      </c>
      <c r="B149" s="13" t="s">
        <v>67</v>
      </c>
      <c r="C149" s="12" t="s">
        <v>64</v>
      </c>
      <c r="D149" s="14">
        <f>'Raw Data'!D10</f>
        <v>586</v>
      </c>
    </row>
    <row r="150" ht="15.75" customHeight="1">
      <c r="A150" s="9" t="s">
        <v>21</v>
      </c>
      <c r="B150" s="10" t="s">
        <v>67</v>
      </c>
      <c r="C150" s="9" t="s">
        <v>65</v>
      </c>
      <c r="D150" s="11">
        <f>'Raw Data'!E10</f>
        <v>42</v>
      </c>
    </row>
    <row r="151" ht="15.75" customHeight="1">
      <c r="A151" s="9" t="s">
        <v>21</v>
      </c>
      <c r="B151" s="10" t="s">
        <v>67</v>
      </c>
      <c r="C151" s="9" t="s">
        <v>66</v>
      </c>
      <c r="D151" s="11">
        <f>IF('Raw Data'!D10&gt;0, 'Raw Data'!E10/'Raw Data'!D10, 0)</f>
        <v>0.07167235495</v>
      </c>
    </row>
    <row r="152" ht="15.75" customHeight="1">
      <c r="A152" s="9" t="s">
        <v>21</v>
      </c>
      <c r="B152" s="10" t="s">
        <v>68</v>
      </c>
      <c r="C152" s="9" t="s">
        <v>64</v>
      </c>
      <c r="D152" s="11">
        <f>'Raw Data'!F10</f>
        <v>147</v>
      </c>
    </row>
    <row r="153" ht="15.75" customHeight="1">
      <c r="A153" s="12" t="s">
        <v>21</v>
      </c>
      <c r="B153" s="13" t="s">
        <v>68</v>
      </c>
      <c r="C153" s="12" t="s">
        <v>65</v>
      </c>
      <c r="D153" s="14">
        <f>'Raw Data'!G10</f>
        <v>139</v>
      </c>
    </row>
    <row r="154" ht="15.75" customHeight="1">
      <c r="A154" s="12" t="s">
        <v>21</v>
      </c>
      <c r="B154" s="13" t="s">
        <v>68</v>
      </c>
      <c r="C154" s="12" t="s">
        <v>66</v>
      </c>
      <c r="D154" s="14">
        <f>IF('Raw Data'!F10&gt;0, 'Raw Data'!G10/'Raw Data'!F10, 0)</f>
        <v>0.9455782313</v>
      </c>
    </row>
    <row r="155" ht="15.75" customHeight="1">
      <c r="A155" s="12" t="s">
        <v>21</v>
      </c>
      <c r="B155" s="13" t="s">
        <v>69</v>
      </c>
      <c r="C155" s="12" t="s">
        <v>64</v>
      </c>
      <c r="D155" s="14">
        <f>'Raw Data'!H10</f>
        <v>129</v>
      </c>
    </row>
    <row r="156" ht="15.75" customHeight="1">
      <c r="A156" s="9" t="s">
        <v>21</v>
      </c>
      <c r="B156" s="10" t="s">
        <v>69</v>
      </c>
      <c r="C156" s="9" t="s">
        <v>65</v>
      </c>
      <c r="D156" s="11">
        <f>'Raw Data'!I10</f>
        <v>94</v>
      </c>
    </row>
    <row r="157" ht="15.75" customHeight="1">
      <c r="A157" s="9" t="s">
        <v>21</v>
      </c>
      <c r="B157" s="10" t="s">
        <v>69</v>
      </c>
      <c r="C157" s="9" t="s">
        <v>66</v>
      </c>
      <c r="D157" s="11">
        <f>IF('Raw Data'!H10&gt;0, 'Raw Data'!I10/'Raw Data'!H10, 0)</f>
        <v>0.7286821705</v>
      </c>
    </row>
    <row r="158" ht="15.75" customHeight="1">
      <c r="A158" s="9" t="s">
        <v>21</v>
      </c>
      <c r="B158" s="10" t="s">
        <v>70</v>
      </c>
      <c r="C158" s="9" t="s">
        <v>64</v>
      </c>
      <c r="D158" s="11">
        <f>'Raw Data'!J10</f>
        <v>256</v>
      </c>
    </row>
    <row r="159" ht="15.75" customHeight="1">
      <c r="A159" s="12" t="s">
        <v>21</v>
      </c>
      <c r="B159" s="13" t="s">
        <v>70</v>
      </c>
      <c r="C159" s="12" t="s">
        <v>65</v>
      </c>
      <c r="D159" s="14">
        <f>'Raw Data'!K10</f>
        <v>176</v>
      </c>
    </row>
    <row r="160" ht="15.75" customHeight="1">
      <c r="A160" s="12" t="s">
        <v>21</v>
      </c>
      <c r="B160" s="13" t="s">
        <v>70</v>
      </c>
      <c r="C160" s="12" t="s">
        <v>66</v>
      </c>
      <c r="D160" s="14">
        <f>IF('Raw Data'!J10&gt;0, 'Raw Data'!K10/'Raw Data'!J10, 0)</f>
        <v>0.6875</v>
      </c>
    </row>
    <row r="161" ht="15.75" customHeight="1">
      <c r="A161" s="12" t="s">
        <v>21</v>
      </c>
      <c r="B161" s="16">
        <v>2024.0</v>
      </c>
      <c r="C161" s="12" t="s">
        <v>64</v>
      </c>
      <c r="D161" s="14">
        <f>'Raw Data'!L10</f>
        <v>288</v>
      </c>
    </row>
    <row r="162" ht="15.75" customHeight="1">
      <c r="A162" s="9" t="s">
        <v>21</v>
      </c>
      <c r="B162" s="17">
        <v>2024.0</v>
      </c>
      <c r="C162" s="9" t="s">
        <v>65</v>
      </c>
      <c r="D162" s="11">
        <f>'Raw Data'!M10</f>
        <v>576</v>
      </c>
    </row>
    <row r="163" ht="15.75" customHeight="1">
      <c r="A163" s="9" t="s">
        <v>21</v>
      </c>
      <c r="B163" s="17">
        <v>2024.0</v>
      </c>
      <c r="C163" s="9" t="s">
        <v>66</v>
      </c>
      <c r="D163" s="11">
        <f>IF('Raw Data'!L10&gt;0, 'Raw Data'!M10/'Raw Data'!L10, 0)</f>
        <v>2</v>
      </c>
    </row>
    <row r="164" ht="15.75" customHeight="1">
      <c r="A164" s="9" t="s">
        <v>22</v>
      </c>
      <c r="B164" s="10" t="s">
        <v>63</v>
      </c>
      <c r="C164" s="9" t="s">
        <v>64</v>
      </c>
      <c r="D164" s="11">
        <f>'Raw Data'!B11</f>
        <v>17511</v>
      </c>
    </row>
    <row r="165" ht="15.75" customHeight="1">
      <c r="A165" s="12" t="s">
        <v>22</v>
      </c>
      <c r="B165" s="13" t="s">
        <v>63</v>
      </c>
      <c r="C165" s="12" t="s">
        <v>65</v>
      </c>
      <c r="D165" s="14">
        <f>'Raw Data'!C11</f>
        <v>16189</v>
      </c>
    </row>
    <row r="166" ht="15.75" customHeight="1">
      <c r="A166" s="12" t="s">
        <v>22</v>
      </c>
      <c r="B166" s="13" t="s">
        <v>63</v>
      </c>
      <c r="C166" s="12" t="s">
        <v>66</v>
      </c>
      <c r="D166" s="14">
        <f>IF('Raw Data'!B11&gt;0, 'Raw Data'!C11/'Raw Data'!B11, 0)</f>
        <v>0.9245045971</v>
      </c>
    </row>
    <row r="167" ht="15.75" customHeight="1">
      <c r="A167" s="12" t="s">
        <v>22</v>
      </c>
      <c r="B167" s="13" t="s">
        <v>67</v>
      </c>
      <c r="C167" s="12" t="s">
        <v>64</v>
      </c>
      <c r="D167" s="14">
        <f>'Raw Data'!D11</f>
        <v>31384</v>
      </c>
    </row>
    <row r="168" ht="15.75" customHeight="1">
      <c r="A168" s="9" t="s">
        <v>22</v>
      </c>
      <c r="B168" s="10" t="s">
        <v>67</v>
      </c>
      <c r="C168" s="9" t="s">
        <v>65</v>
      </c>
      <c r="D168" s="11">
        <f>'Raw Data'!E11</f>
        <v>15543</v>
      </c>
    </row>
    <row r="169" ht="15.75" customHeight="1">
      <c r="A169" s="9" t="s">
        <v>22</v>
      </c>
      <c r="B169" s="10" t="s">
        <v>67</v>
      </c>
      <c r="C169" s="9" t="s">
        <v>66</v>
      </c>
      <c r="D169" s="11">
        <f>IF('Raw Data'!D11&gt;0, 'Raw Data'!E11/'Raw Data'!D11, 0)</f>
        <v>0.4952523579</v>
      </c>
    </row>
    <row r="170" ht="15.75" customHeight="1">
      <c r="A170" s="9" t="s">
        <v>22</v>
      </c>
      <c r="B170" s="10" t="s">
        <v>68</v>
      </c>
      <c r="C170" s="9" t="s">
        <v>64</v>
      </c>
      <c r="D170" s="11">
        <f>'Raw Data'!F11</f>
        <v>4808</v>
      </c>
    </row>
    <row r="171" ht="15.75" customHeight="1">
      <c r="A171" s="12" t="s">
        <v>22</v>
      </c>
      <c r="B171" s="13" t="s">
        <v>68</v>
      </c>
      <c r="C171" s="12" t="s">
        <v>65</v>
      </c>
      <c r="D171" s="14">
        <f>'Raw Data'!G11</f>
        <v>2864</v>
      </c>
    </row>
    <row r="172" ht="15.75" customHeight="1">
      <c r="A172" s="12" t="s">
        <v>22</v>
      </c>
      <c r="B172" s="13" t="s">
        <v>68</v>
      </c>
      <c r="C172" s="12" t="s">
        <v>66</v>
      </c>
      <c r="D172" s="14">
        <f>IF('Raw Data'!F11&gt;0, 'Raw Data'!G11/'Raw Data'!F11, 0)</f>
        <v>0.5956738769</v>
      </c>
    </row>
    <row r="173" ht="15.75" customHeight="1">
      <c r="A173" s="12" t="s">
        <v>22</v>
      </c>
      <c r="B173" s="13" t="s">
        <v>69</v>
      </c>
      <c r="C173" s="12" t="s">
        <v>64</v>
      </c>
      <c r="D173" s="14">
        <f>'Raw Data'!H11</f>
        <v>32159</v>
      </c>
    </row>
    <row r="174" ht="15.75" customHeight="1">
      <c r="A174" s="9" t="s">
        <v>22</v>
      </c>
      <c r="B174" s="10" t="s">
        <v>69</v>
      </c>
      <c r="C174" s="9" t="s">
        <v>65</v>
      </c>
      <c r="D174" s="11">
        <f>'Raw Data'!I11</f>
        <v>13063</v>
      </c>
    </row>
    <row r="175" ht="15.75" customHeight="1">
      <c r="A175" s="9" t="s">
        <v>22</v>
      </c>
      <c r="B175" s="10" t="s">
        <v>69</v>
      </c>
      <c r="C175" s="9" t="s">
        <v>66</v>
      </c>
      <c r="D175" s="11">
        <f>IF('Raw Data'!H11&gt;0, 'Raw Data'!I11/'Raw Data'!H11, 0)</f>
        <v>0.4062004416</v>
      </c>
    </row>
    <row r="176" ht="15.75" customHeight="1">
      <c r="A176" s="9" t="s">
        <v>22</v>
      </c>
      <c r="B176" s="10" t="s">
        <v>70</v>
      </c>
      <c r="C176" s="9" t="s">
        <v>64</v>
      </c>
      <c r="D176" s="11">
        <f>'Raw Data'!J11</f>
        <v>33241</v>
      </c>
    </row>
    <row r="177" ht="15.75" customHeight="1">
      <c r="A177" s="12" t="s">
        <v>22</v>
      </c>
      <c r="B177" s="13" t="s">
        <v>70</v>
      </c>
      <c r="C177" s="12" t="s">
        <v>65</v>
      </c>
      <c r="D177" s="14">
        <f>'Raw Data'!K11</f>
        <v>40733</v>
      </c>
    </row>
    <row r="178" ht="15.75" customHeight="1">
      <c r="A178" s="12" t="s">
        <v>22</v>
      </c>
      <c r="B178" s="13" t="s">
        <v>70</v>
      </c>
      <c r="C178" s="12" t="s">
        <v>66</v>
      </c>
      <c r="D178" s="14">
        <f>IF('Raw Data'!J11&gt;0, 'Raw Data'!K11/'Raw Data'!J11, 0)</f>
        <v>1.225384315</v>
      </c>
    </row>
    <row r="179" ht="15.75" customHeight="1">
      <c r="A179" s="12" t="s">
        <v>22</v>
      </c>
      <c r="B179" s="16">
        <v>2024.0</v>
      </c>
      <c r="C179" s="12" t="s">
        <v>64</v>
      </c>
      <c r="D179" s="14">
        <f>'Raw Data'!L11</f>
        <v>21906</v>
      </c>
    </row>
    <row r="180" ht="15.75" customHeight="1">
      <c r="A180" s="9" t="s">
        <v>22</v>
      </c>
      <c r="B180" s="17">
        <v>2024.0</v>
      </c>
      <c r="C180" s="9" t="s">
        <v>65</v>
      </c>
      <c r="D180" s="11">
        <f>'Raw Data'!M11</f>
        <v>40573</v>
      </c>
    </row>
    <row r="181" ht="15.75" customHeight="1">
      <c r="A181" s="9" t="s">
        <v>22</v>
      </c>
      <c r="B181" s="17">
        <v>2024.0</v>
      </c>
      <c r="C181" s="9" t="s">
        <v>66</v>
      </c>
      <c r="D181" s="11">
        <f>IF('Raw Data'!L11&gt;0, 'Raw Data'!M11/'Raw Data'!L11, 0)</f>
        <v>1.852140966</v>
      </c>
    </row>
    <row r="182" ht="15.75" customHeight="1">
      <c r="A182" s="9" t="s">
        <v>23</v>
      </c>
      <c r="B182" s="10" t="s">
        <v>63</v>
      </c>
      <c r="C182" s="9" t="s">
        <v>64</v>
      </c>
      <c r="D182" s="11">
        <f>'Raw Data'!B12</f>
        <v>95390</v>
      </c>
    </row>
    <row r="183" ht="15.75" customHeight="1">
      <c r="A183" s="12" t="s">
        <v>23</v>
      </c>
      <c r="B183" s="13" t="s">
        <v>63</v>
      </c>
      <c r="C183" s="12" t="s">
        <v>65</v>
      </c>
      <c r="D183" s="14">
        <f>'Raw Data'!C12</f>
        <v>259003</v>
      </c>
    </row>
    <row r="184" ht="15.75" customHeight="1">
      <c r="A184" s="12" t="s">
        <v>23</v>
      </c>
      <c r="B184" s="13" t="s">
        <v>63</v>
      </c>
      <c r="C184" s="12" t="s">
        <v>66</v>
      </c>
      <c r="D184" s="14">
        <f>IF('Raw Data'!B12&gt;0, 'Raw Data'!C12/'Raw Data'!B12, 0)</f>
        <v>2.715200755</v>
      </c>
    </row>
    <row r="185" ht="15.75" customHeight="1">
      <c r="A185" s="12" t="s">
        <v>23</v>
      </c>
      <c r="B185" s="13" t="s">
        <v>67</v>
      </c>
      <c r="C185" s="12" t="s">
        <v>64</v>
      </c>
      <c r="D185" s="14">
        <f>'Raw Data'!D12</f>
        <v>83773</v>
      </c>
    </row>
    <row r="186" ht="15.75" customHeight="1">
      <c r="A186" s="9" t="s">
        <v>23</v>
      </c>
      <c r="B186" s="10" t="s">
        <v>67</v>
      </c>
      <c r="C186" s="9" t="s">
        <v>65</v>
      </c>
      <c r="D186" s="11">
        <f>'Raw Data'!E12</f>
        <v>226888</v>
      </c>
    </row>
    <row r="187" ht="15.75" customHeight="1">
      <c r="A187" s="9" t="s">
        <v>23</v>
      </c>
      <c r="B187" s="10" t="s">
        <v>67</v>
      </c>
      <c r="C187" s="9" t="s">
        <v>66</v>
      </c>
      <c r="D187" s="11">
        <f>IF('Raw Data'!D12&gt;0, 'Raw Data'!E12/'Raw Data'!D12, 0)</f>
        <v>2.708366658</v>
      </c>
    </row>
    <row r="188" ht="15.75" customHeight="1">
      <c r="A188" s="9" t="s">
        <v>23</v>
      </c>
      <c r="B188" s="10" t="s">
        <v>68</v>
      </c>
      <c r="C188" s="9" t="s">
        <v>64</v>
      </c>
      <c r="D188" s="11">
        <f>'Raw Data'!F12</f>
        <v>98415</v>
      </c>
    </row>
    <row r="189" ht="15.75" customHeight="1">
      <c r="A189" s="12" t="s">
        <v>23</v>
      </c>
      <c r="B189" s="13" t="s">
        <v>68</v>
      </c>
      <c r="C189" s="12" t="s">
        <v>65</v>
      </c>
      <c r="D189" s="14">
        <f>'Raw Data'!G12</f>
        <v>262506</v>
      </c>
    </row>
    <row r="190" ht="15.75" customHeight="1">
      <c r="A190" s="12" t="s">
        <v>23</v>
      </c>
      <c r="B190" s="13" t="s">
        <v>68</v>
      </c>
      <c r="C190" s="12" t="s">
        <v>66</v>
      </c>
      <c r="D190" s="14">
        <f>IF('Raw Data'!F12&gt;0, 'Raw Data'!G12/'Raw Data'!F12, 0)</f>
        <v>2.667337296</v>
      </c>
    </row>
    <row r="191" ht="15.75" customHeight="1">
      <c r="A191" s="12" t="s">
        <v>23</v>
      </c>
      <c r="B191" s="13" t="s">
        <v>69</v>
      </c>
      <c r="C191" s="12" t="s">
        <v>64</v>
      </c>
      <c r="D191" s="14">
        <f>'Raw Data'!H12</f>
        <v>100641</v>
      </c>
    </row>
    <row r="192" ht="15.75" customHeight="1">
      <c r="A192" s="9" t="s">
        <v>23</v>
      </c>
      <c r="B192" s="10" t="s">
        <v>69</v>
      </c>
      <c r="C192" s="9" t="s">
        <v>65</v>
      </c>
      <c r="D192" s="11">
        <f>'Raw Data'!I12</f>
        <v>154369</v>
      </c>
    </row>
    <row r="193" ht="15.75" customHeight="1">
      <c r="A193" s="9" t="s">
        <v>23</v>
      </c>
      <c r="B193" s="10" t="s">
        <v>69</v>
      </c>
      <c r="C193" s="9" t="s">
        <v>66</v>
      </c>
      <c r="D193" s="11">
        <f>IF('Raw Data'!H12&gt;0, 'Raw Data'!I12/'Raw Data'!H12, 0)</f>
        <v>1.53385797</v>
      </c>
    </row>
    <row r="194" ht="15.75" customHeight="1">
      <c r="A194" s="9" t="s">
        <v>23</v>
      </c>
      <c r="B194" s="10" t="s">
        <v>70</v>
      </c>
      <c r="C194" s="9" t="s">
        <v>64</v>
      </c>
      <c r="D194" s="11">
        <f>'Raw Data'!J12</f>
        <v>87532</v>
      </c>
    </row>
    <row r="195" ht="15.75" customHeight="1">
      <c r="A195" s="12" t="s">
        <v>23</v>
      </c>
      <c r="B195" s="13" t="s">
        <v>70</v>
      </c>
      <c r="C195" s="12" t="s">
        <v>65</v>
      </c>
      <c r="D195" s="14">
        <f>'Raw Data'!K12</f>
        <v>132572</v>
      </c>
    </row>
    <row r="196" ht="15.75" customHeight="1">
      <c r="A196" s="12" t="s">
        <v>23</v>
      </c>
      <c r="B196" s="13" t="s">
        <v>70</v>
      </c>
      <c r="C196" s="12" t="s">
        <v>66</v>
      </c>
      <c r="D196" s="14">
        <f>IF('Raw Data'!J12&gt;0, 'Raw Data'!K12/'Raw Data'!J12, 0)</f>
        <v>1.514554677</v>
      </c>
    </row>
    <row r="197" ht="15.75" customHeight="1">
      <c r="A197" s="12" t="s">
        <v>23</v>
      </c>
      <c r="B197" s="16">
        <v>2024.0</v>
      </c>
      <c r="C197" s="12" t="s">
        <v>64</v>
      </c>
      <c r="D197" s="14">
        <f>'Raw Data'!L12</f>
        <v>105181</v>
      </c>
    </row>
    <row r="198" ht="15.75" customHeight="1">
      <c r="A198" s="9" t="s">
        <v>23</v>
      </c>
      <c r="B198" s="17">
        <v>2024.0</v>
      </c>
      <c r="C198" s="9" t="s">
        <v>65</v>
      </c>
      <c r="D198" s="11">
        <f>'Raw Data'!M12</f>
        <v>212753</v>
      </c>
    </row>
    <row r="199" ht="15.75" customHeight="1">
      <c r="A199" s="9" t="s">
        <v>23</v>
      </c>
      <c r="B199" s="17">
        <v>2024.0</v>
      </c>
      <c r="C199" s="9" t="s">
        <v>66</v>
      </c>
      <c r="D199" s="11">
        <f>IF('Raw Data'!L12&gt;0, 'Raw Data'!M12/'Raw Data'!L12, 0)</f>
        <v>2.022732243</v>
      </c>
    </row>
    <row r="200" ht="15.75" customHeight="1">
      <c r="A200" s="9" t="s">
        <v>24</v>
      </c>
      <c r="B200" s="10" t="s">
        <v>63</v>
      </c>
      <c r="C200" s="9" t="s">
        <v>64</v>
      </c>
      <c r="D200" s="11">
        <f>'Raw Data'!B13</f>
        <v>32050</v>
      </c>
    </row>
    <row r="201" ht="15.75" customHeight="1">
      <c r="A201" s="12" t="s">
        <v>24</v>
      </c>
      <c r="B201" s="13" t="s">
        <v>63</v>
      </c>
      <c r="C201" s="12" t="s">
        <v>65</v>
      </c>
      <c r="D201" s="14">
        <f>'Raw Data'!C13</f>
        <v>85815</v>
      </c>
    </row>
    <row r="202" ht="15.75" customHeight="1">
      <c r="A202" s="12" t="s">
        <v>24</v>
      </c>
      <c r="B202" s="13" t="s">
        <v>63</v>
      </c>
      <c r="C202" s="12" t="s">
        <v>66</v>
      </c>
      <c r="D202" s="14">
        <f>IF('Raw Data'!B13&gt;0, 'Raw Data'!C13/'Raw Data'!B13, 0)</f>
        <v>2.677535101</v>
      </c>
    </row>
    <row r="203" ht="15.75" customHeight="1">
      <c r="A203" s="12" t="s">
        <v>24</v>
      </c>
      <c r="B203" s="13" t="s">
        <v>67</v>
      </c>
      <c r="C203" s="12" t="s">
        <v>64</v>
      </c>
      <c r="D203" s="14">
        <f>'Raw Data'!D13</f>
        <v>34397</v>
      </c>
    </row>
    <row r="204" ht="15.75" customHeight="1">
      <c r="A204" s="9" t="s">
        <v>24</v>
      </c>
      <c r="B204" s="10" t="s">
        <v>67</v>
      </c>
      <c r="C204" s="9" t="s">
        <v>65</v>
      </c>
      <c r="D204" s="11">
        <f>'Raw Data'!E13</f>
        <v>92731</v>
      </c>
    </row>
    <row r="205" ht="15.75" customHeight="1">
      <c r="A205" s="9" t="s">
        <v>24</v>
      </c>
      <c r="B205" s="10" t="s">
        <v>67</v>
      </c>
      <c r="C205" s="9" t="s">
        <v>66</v>
      </c>
      <c r="D205" s="11">
        <f>IF('Raw Data'!D13&gt;0, 'Raw Data'!E13/'Raw Data'!D13, 0)</f>
        <v>2.695903713</v>
      </c>
    </row>
    <row r="206" ht="15.75" customHeight="1">
      <c r="A206" s="9" t="s">
        <v>24</v>
      </c>
      <c r="B206" s="10" t="s">
        <v>68</v>
      </c>
      <c r="C206" s="9" t="s">
        <v>64</v>
      </c>
      <c r="D206" s="11">
        <f>'Raw Data'!F13</f>
        <v>35068</v>
      </c>
    </row>
    <row r="207" ht="15.75" customHeight="1">
      <c r="A207" s="12" t="s">
        <v>24</v>
      </c>
      <c r="B207" s="13" t="s">
        <v>68</v>
      </c>
      <c r="C207" s="12" t="s">
        <v>65</v>
      </c>
      <c r="D207" s="14">
        <f>'Raw Data'!G13</f>
        <v>98746</v>
      </c>
    </row>
    <row r="208" ht="15.75" customHeight="1">
      <c r="A208" s="12" t="s">
        <v>24</v>
      </c>
      <c r="B208" s="13" t="s">
        <v>68</v>
      </c>
      <c r="C208" s="12" t="s">
        <v>66</v>
      </c>
      <c r="D208" s="14">
        <f>IF('Raw Data'!F13&gt;0, 'Raw Data'!G13/'Raw Data'!F13, 0)</f>
        <v>2.815843504</v>
      </c>
    </row>
    <row r="209" ht="15.75" customHeight="1">
      <c r="A209" s="12" t="s">
        <v>24</v>
      </c>
      <c r="B209" s="13" t="s">
        <v>69</v>
      </c>
      <c r="C209" s="12" t="s">
        <v>64</v>
      </c>
      <c r="D209" s="14">
        <f>'Raw Data'!H13</f>
        <v>40530</v>
      </c>
    </row>
    <row r="210" ht="15.75" customHeight="1">
      <c r="A210" s="9" t="s">
        <v>24</v>
      </c>
      <c r="B210" s="10" t="s">
        <v>69</v>
      </c>
      <c r="C210" s="9" t="s">
        <v>65</v>
      </c>
      <c r="D210" s="11">
        <f>'Raw Data'!I13</f>
        <v>85975</v>
      </c>
    </row>
    <row r="211" ht="15.75" customHeight="1">
      <c r="A211" s="9" t="s">
        <v>24</v>
      </c>
      <c r="B211" s="10" t="s">
        <v>69</v>
      </c>
      <c r="C211" s="9" t="s">
        <v>66</v>
      </c>
      <c r="D211" s="11">
        <f>IF('Raw Data'!H13&gt;0, 'Raw Data'!I13/'Raw Data'!H13, 0)</f>
        <v>2.121268196</v>
      </c>
    </row>
    <row r="212" ht="15.75" customHeight="1">
      <c r="A212" s="9" t="s">
        <v>24</v>
      </c>
      <c r="B212" s="10" t="s">
        <v>70</v>
      </c>
      <c r="C212" s="9" t="s">
        <v>64</v>
      </c>
      <c r="D212" s="11">
        <f>'Raw Data'!J13</f>
        <v>40643</v>
      </c>
    </row>
    <row r="213" ht="15.75" customHeight="1">
      <c r="A213" s="12" t="s">
        <v>24</v>
      </c>
      <c r="B213" s="13" t="s">
        <v>70</v>
      </c>
      <c r="C213" s="12" t="s">
        <v>65</v>
      </c>
      <c r="D213" s="14">
        <f>'Raw Data'!K13</f>
        <v>111130</v>
      </c>
    </row>
    <row r="214" ht="15.75" customHeight="1">
      <c r="A214" s="12" t="s">
        <v>24</v>
      </c>
      <c r="B214" s="13" t="s">
        <v>70</v>
      </c>
      <c r="C214" s="12" t="s">
        <v>66</v>
      </c>
      <c r="D214" s="14">
        <f>IF('Raw Data'!J13&gt;0, 'Raw Data'!K13/'Raw Data'!J13, 0)</f>
        <v>2.734296189</v>
      </c>
    </row>
    <row r="215" ht="15.75" customHeight="1">
      <c r="A215" s="12" t="s">
        <v>24</v>
      </c>
      <c r="B215" s="16">
        <v>2024.0</v>
      </c>
      <c r="C215" s="12" t="s">
        <v>64</v>
      </c>
      <c r="D215" s="14">
        <f>'Raw Data'!L13</f>
        <v>43908</v>
      </c>
    </row>
    <row r="216" ht="15.75" customHeight="1">
      <c r="A216" s="9" t="s">
        <v>24</v>
      </c>
      <c r="B216" s="17">
        <v>2024.0</v>
      </c>
      <c r="C216" s="9" t="s">
        <v>65</v>
      </c>
      <c r="D216" s="11">
        <f>'Raw Data'!M13</f>
        <v>134358</v>
      </c>
    </row>
    <row r="217" ht="15.75" customHeight="1">
      <c r="A217" s="9" t="s">
        <v>24</v>
      </c>
      <c r="B217" s="17">
        <v>2024.0</v>
      </c>
      <c r="C217" s="9" t="s">
        <v>66</v>
      </c>
      <c r="D217" s="11">
        <f>IF('Raw Data'!L13&gt;0, 'Raw Data'!M13/'Raw Data'!L13, 0)</f>
        <v>3.059989068</v>
      </c>
    </row>
    <row r="218" ht="15.75" customHeight="1">
      <c r="A218" s="9" t="s">
        <v>25</v>
      </c>
      <c r="B218" s="10" t="s">
        <v>63</v>
      </c>
      <c r="C218" s="9" t="s">
        <v>64</v>
      </c>
      <c r="D218" s="11">
        <f>'Raw Data'!B14</f>
        <v>31447</v>
      </c>
    </row>
    <row r="219" ht="15.75" customHeight="1">
      <c r="A219" s="12" t="s">
        <v>25</v>
      </c>
      <c r="B219" s="13" t="s">
        <v>63</v>
      </c>
      <c r="C219" s="12" t="s">
        <v>65</v>
      </c>
      <c r="D219" s="14">
        <f>'Raw Data'!C14</f>
        <v>83239</v>
      </c>
    </row>
    <row r="220" ht="15.75" customHeight="1">
      <c r="A220" s="12" t="s">
        <v>25</v>
      </c>
      <c r="B220" s="13" t="s">
        <v>63</v>
      </c>
      <c r="C220" s="12" t="s">
        <v>66</v>
      </c>
      <c r="D220" s="14">
        <f>IF('Raw Data'!B14&gt;0, 'Raw Data'!C14/'Raw Data'!B14, 0)</f>
        <v>2.646961554</v>
      </c>
    </row>
    <row r="221" ht="15.75" customHeight="1">
      <c r="A221" s="12" t="s">
        <v>25</v>
      </c>
      <c r="B221" s="13" t="s">
        <v>67</v>
      </c>
      <c r="C221" s="12" t="s">
        <v>64</v>
      </c>
      <c r="D221" s="14">
        <f>'Raw Data'!D14</f>
        <v>31528</v>
      </c>
    </row>
    <row r="222" ht="15.75" customHeight="1">
      <c r="A222" s="9" t="s">
        <v>25</v>
      </c>
      <c r="B222" s="10" t="s">
        <v>67</v>
      </c>
      <c r="C222" s="9" t="s">
        <v>65</v>
      </c>
      <c r="D222" s="11">
        <f>'Raw Data'!E14</f>
        <v>43259</v>
      </c>
    </row>
    <row r="223" ht="15.75" customHeight="1">
      <c r="A223" s="9" t="s">
        <v>25</v>
      </c>
      <c r="B223" s="10" t="s">
        <v>67</v>
      </c>
      <c r="C223" s="9" t="s">
        <v>66</v>
      </c>
      <c r="D223" s="11">
        <f>IF('Raw Data'!D14&gt;0, 'Raw Data'!E14/'Raw Data'!D14, 0)</f>
        <v>1.372081959</v>
      </c>
    </row>
    <row r="224" ht="15.75" customHeight="1">
      <c r="A224" s="9" t="s">
        <v>25</v>
      </c>
      <c r="B224" s="10" t="s">
        <v>68</v>
      </c>
      <c r="C224" s="9" t="s">
        <v>64</v>
      </c>
      <c r="D224" s="11">
        <f>'Raw Data'!F14</f>
        <v>30371</v>
      </c>
    </row>
    <row r="225" ht="15.75" customHeight="1">
      <c r="A225" s="12" t="s">
        <v>25</v>
      </c>
      <c r="B225" s="13" t="s">
        <v>68</v>
      </c>
      <c r="C225" s="12" t="s">
        <v>65</v>
      </c>
      <c r="D225" s="14">
        <f>'Raw Data'!G14</f>
        <v>25563</v>
      </c>
    </row>
    <row r="226" ht="15.75" customHeight="1">
      <c r="A226" s="12" t="s">
        <v>25</v>
      </c>
      <c r="B226" s="13" t="s">
        <v>68</v>
      </c>
      <c r="C226" s="12" t="s">
        <v>66</v>
      </c>
      <c r="D226" s="14">
        <f>IF('Raw Data'!F14&gt;0, 'Raw Data'!G14/'Raw Data'!F14, 0)</f>
        <v>0.8416910869</v>
      </c>
    </row>
    <row r="227" ht="15.75" customHeight="1">
      <c r="A227" s="12" t="s">
        <v>25</v>
      </c>
      <c r="B227" s="13" t="s">
        <v>69</v>
      </c>
      <c r="C227" s="12" t="s">
        <v>64</v>
      </c>
      <c r="D227" s="14">
        <f>'Raw Data'!H14</f>
        <v>29174</v>
      </c>
    </row>
    <row r="228" ht="15.75" customHeight="1">
      <c r="A228" s="9" t="s">
        <v>25</v>
      </c>
      <c r="B228" s="10" t="s">
        <v>69</v>
      </c>
      <c r="C228" s="9" t="s">
        <v>65</v>
      </c>
      <c r="D228" s="11">
        <f>'Raw Data'!I14</f>
        <v>19655</v>
      </c>
    </row>
    <row r="229" ht="15.75" customHeight="1">
      <c r="A229" s="9" t="s">
        <v>25</v>
      </c>
      <c r="B229" s="10" t="s">
        <v>69</v>
      </c>
      <c r="C229" s="9" t="s">
        <v>66</v>
      </c>
      <c r="D229" s="11">
        <f>IF('Raw Data'!H14&gt;0, 'Raw Data'!I14/'Raw Data'!H14, 0)</f>
        <v>0.6737163228</v>
      </c>
    </row>
    <row r="230" ht="15.75" customHeight="1">
      <c r="A230" s="9" t="s">
        <v>25</v>
      </c>
      <c r="B230" s="10" t="s">
        <v>70</v>
      </c>
      <c r="C230" s="9" t="s">
        <v>64</v>
      </c>
      <c r="D230" s="11">
        <f>'Raw Data'!J14</f>
        <v>30537</v>
      </c>
    </row>
    <row r="231" ht="15.75" customHeight="1">
      <c r="A231" s="12" t="s">
        <v>25</v>
      </c>
      <c r="B231" s="13" t="s">
        <v>70</v>
      </c>
      <c r="C231" s="12" t="s">
        <v>65</v>
      </c>
      <c r="D231" s="14">
        <f>'Raw Data'!K14</f>
        <v>29692</v>
      </c>
    </row>
    <row r="232" ht="15.75" customHeight="1">
      <c r="A232" s="12" t="s">
        <v>25</v>
      </c>
      <c r="B232" s="13" t="s">
        <v>70</v>
      </c>
      <c r="C232" s="12" t="s">
        <v>66</v>
      </c>
      <c r="D232" s="14">
        <f>IF('Raw Data'!J14&gt;0, 'Raw Data'!K14/'Raw Data'!J14, 0)</f>
        <v>0.9723286505</v>
      </c>
    </row>
    <row r="233" ht="15.75" customHeight="1">
      <c r="A233" s="12" t="s">
        <v>25</v>
      </c>
      <c r="B233" s="16">
        <v>2024.0</v>
      </c>
      <c r="C233" s="12" t="s">
        <v>64</v>
      </c>
      <c r="D233" s="14">
        <f>'Raw Data'!L14</f>
        <v>33534</v>
      </c>
    </row>
    <row r="234" ht="15.75" customHeight="1">
      <c r="A234" s="9" t="s">
        <v>25</v>
      </c>
      <c r="B234" s="17">
        <v>2024.0</v>
      </c>
      <c r="C234" s="9" t="s">
        <v>65</v>
      </c>
      <c r="D234" s="11">
        <f>'Raw Data'!M14</f>
        <v>39471</v>
      </c>
    </row>
    <row r="235" ht="15.75" customHeight="1">
      <c r="A235" s="9" t="s">
        <v>25</v>
      </c>
      <c r="B235" s="17">
        <v>2024.0</v>
      </c>
      <c r="C235" s="9" t="s">
        <v>66</v>
      </c>
      <c r="D235" s="11">
        <f>IF('Raw Data'!L14&gt;0, 'Raw Data'!M14/'Raw Data'!L14, 0)</f>
        <v>1.177044194</v>
      </c>
    </row>
    <row r="236" ht="15.75" customHeight="1">
      <c r="A236" s="9" t="s">
        <v>26</v>
      </c>
      <c r="B236" s="10" t="s">
        <v>63</v>
      </c>
      <c r="C236" s="9" t="s">
        <v>64</v>
      </c>
      <c r="D236" s="11">
        <f>'Raw Data'!B15</f>
        <v>72499</v>
      </c>
    </row>
    <row r="237" ht="15.75" customHeight="1">
      <c r="A237" s="12" t="s">
        <v>26</v>
      </c>
      <c r="B237" s="13" t="s">
        <v>63</v>
      </c>
      <c r="C237" s="12" t="s">
        <v>65</v>
      </c>
      <c r="D237" s="14">
        <f>'Raw Data'!C15</f>
        <v>45769</v>
      </c>
    </row>
    <row r="238" ht="15.75" customHeight="1">
      <c r="A238" s="12" t="s">
        <v>26</v>
      </c>
      <c r="B238" s="13" t="s">
        <v>63</v>
      </c>
      <c r="C238" s="12" t="s">
        <v>66</v>
      </c>
      <c r="D238" s="14">
        <f>IF('Raw Data'!B15&gt;0, 'Raw Data'!C15/'Raw Data'!B15, 0)</f>
        <v>0.6313052594</v>
      </c>
    </row>
    <row r="239" ht="15.75" customHeight="1">
      <c r="A239" s="12" t="s">
        <v>26</v>
      </c>
      <c r="B239" s="13" t="s">
        <v>67</v>
      </c>
      <c r="C239" s="12" t="s">
        <v>64</v>
      </c>
      <c r="D239" s="14">
        <f>'Raw Data'!D15</f>
        <v>71782</v>
      </c>
    </row>
    <row r="240" ht="15.75" customHeight="1">
      <c r="A240" s="9" t="s">
        <v>26</v>
      </c>
      <c r="B240" s="10" t="s">
        <v>67</v>
      </c>
      <c r="C240" s="9" t="s">
        <v>65</v>
      </c>
      <c r="D240" s="11">
        <f>'Raw Data'!E15</f>
        <v>44585</v>
      </c>
    </row>
    <row r="241" ht="15.75" customHeight="1">
      <c r="A241" s="9" t="s">
        <v>26</v>
      </c>
      <c r="B241" s="10" t="s">
        <v>67</v>
      </c>
      <c r="C241" s="9" t="s">
        <v>66</v>
      </c>
      <c r="D241" s="11">
        <f>IF('Raw Data'!D15&gt;0, 'Raw Data'!E15/'Raw Data'!D15, 0)</f>
        <v>0.6211167145</v>
      </c>
    </row>
    <row r="242" ht="15.75" customHeight="1">
      <c r="A242" s="9" t="s">
        <v>26</v>
      </c>
      <c r="B242" s="10" t="s">
        <v>68</v>
      </c>
      <c r="C242" s="9" t="s">
        <v>64</v>
      </c>
      <c r="D242" s="11">
        <f>'Raw Data'!F15</f>
        <v>53943</v>
      </c>
    </row>
    <row r="243" ht="15.75" customHeight="1">
      <c r="A243" s="12" t="s">
        <v>26</v>
      </c>
      <c r="B243" s="13" t="s">
        <v>68</v>
      </c>
      <c r="C243" s="12" t="s">
        <v>65</v>
      </c>
      <c r="D243" s="14">
        <f>'Raw Data'!G15</f>
        <v>26176</v>
      </c>
    </row>
    <row r="244" ht="15.75" customHeight="1">
      <c r="A244" s="12" t="s">
        <v>26</v>
      </c>
      <c r="B244" s="13" t="s">
        <v>68</v>
      </c>
      <c r="C244" s="12" t="s">
        <v>66</v>
      </c>
      <c r="D244" s="14">
        <f>IF('Raw Data'!F15&gt;0, 'Raw Data'!G15/'Raw Data'!F15, 0)</f>
        <v>0.4852529522</v>
      </c>
    </row>
    <row r="245" ht="15.75" customHeight="1">
      <c r="A245" s="12" t="s">
        <v>26</v>
      </c>
      <c r="B245" s="13" t="s">
        <v>69</v>
      </c>
      <c r="C245" s="12" t="s">
        <v>64</v>
      </c>
      <c r="D245" s="14">
        <f>'Raw Data'!H15</f>
        <v>72748</v>
      </c>
    </row>
    <row r="246" ht="15.75" customHeight="1">
      <c r="A246" s="9" t="s">
        <v>26</v>
      </c>
      <c r="B246" s="10" t="s">
        <v>69</v>
      </c>
      <c r="C246" s="9" t="s">
        <v>65</v>
      </c>
      <c r="D246" s="11">
        <f>'Raw Data'!I15</f>
        <v>47780</v>
      </c>
    </row>
    <row r="247" ht="15.75" customHeight="1">
      <c r="A247" s="9" t="s">
        <v>26</v>
      </c>
      <c r="B247" s="10" t="s">
        <v>69</v>
      </c>
      <c r="C247" s="9" t="s">
        <v>66</v>
      </c>
      <c r="D247" s="11">
        <f>IF('Raw Data'!H15&gt;0, 'Raw Data'!I15/'Raw Data'!H15, 0)</f>
        <v>0.6567878155</v>
      </c>
    </row>
    <row r="248" ht="15.75" customHeight="1">
      <c r="A248" s="9" t="s">
        <v>26</v>
      </c>
      <c r="B248" s="10" t="s">
        <v>70</v>
      </c>
      <c r="C248" s="9" t="s">
        <v>64</v>
      </c>
      <c r="D248" s="11">
        <f>'Raw Data'!J15</f>
        <v>95674</v>
      </c>
    </row>
    <row r="249" ht="15.75" customHeight="1">
      <c r="A249" s="12" t="s">
        <v>26</v>
      </c>
      <c r="B249" s="13" t="s">
        <v>70</v>
      </c>
      <c r="C249" s="12" t="s">
        <v>65</v>
      </c>
      <c r="D249" s="14">
        <f>'Raw Data'!K15</f>
        <v>81813</v>
      </c>
    </row>
    <row r="250" ht="15.75" customHeight="1">
      <c r="A250" s="12" t="s">
        <v>26</v>
      </c>
      <c r="B250" s="13" t="s">
        <v>70</v>
      </c>
      <c r="C250" s="12" t="s">
        <v>66</v>
      </c>
      <c r="D250" s="14">
        <f>IF('Raw Data'!J15&gt;0, 'Raw Data'!K15/'Raw Data'!J15, 0)</f>
        <v>0.8551226038</v>
      </c>
    </row>
    <row r="251" ht="15.75" customHeight="1">
      <c r="A251" s="12" t="s">
        <v>26</v>
      </c>
      <c r="B251" s="16">
        <v>2024.0</v>
      </c>
      <c r="C251" s="12" t="s">
        <v>64</v>
      </c>
      <c r="D251" s="14">
        <f>'Raw Data'!L15</f>
        <v>51393</v>
      </c>
    </row>
    <row r="252" ht="15.75" customHeight="1">
      <c r="A252" s="9" t="s">
        <v>26</v>
      </c>
      <c r="B252" s="17">
        <v>2024.0</v>
      </c>
      <c r="C252" s="9" t="s">
        <v>65</v>
      </c>
      <c r="D252" s="11">
        <f>'Raw Data'!M15</f>
        <v>41907</v>
      </c>
    </row>
    <row r="253" ht="15.75" customHeight="1">
      <c r="A253" s="9" t="s">
        <v>26</v>
      </c>
      <c r="B253" s="17">
        <v>2024.0</v>
      </c>
      <c r="C253" s="9" t="s">
        <v>66</v>
      </c>
      <c r="D253" s="11">
        <f>IF('Raw Data'!L15&gt;0, 'Raw Data'!M15/'Raw Data'!L15, 0)</f>
        <v>0.8154223338</v>
      </c>
    </row>
    <row r="254" ht="15.75" customHeight="1">
      <c r="A254" s="9" t="s">
        <v>27</v>
      </c>
      <c r="B254" s="10" t="s">
        <v>63</v>
      </c>
      <c r="C254" s="9" t="s">
        <v>64</v>
      </c>
      <c r="D254" s="11">
        <f>'Raw Data'!B16</f>
        <v>30406</v>
      </c>
    </row>
    <row r="255" ht="15.75" customHeight="1">
      <c r="A255" s="12" t="s">
        <v>27</v>
      </c>
      <c r="B255" s="13" t="s">
        <v>63</v>
      </c>
      <c r="C255" s="12" t="s">
        <v>65</v>
      </c>
      <c r="D255" s="14">
        <f>'Raw Data'!C16</f>
        <v>45036</v>
      </c>
    </row>
    <row r="256" ht="15.75" customHeight="1">
      <c r="A256" s="12" t="s">
        <v>27</v>
      </c>
      <c r="B256" s="13" t="s">
        <v>63</v>
      </c>
      <c r="C256" s="12" t="s">
        <v>66</v>
      </c>
      <c r="D256" s="14">
        <f>IF('Raw Data'!B16&gt;0, 'Raw Data'!C16/'Raw Data'!B16, 0)</f>
        <v>1.481155035</v>
      </c>
    </row>
    <row r="257" ht="15.75" customHeight="1">
      <c r="A257" s="12" t="s">
        <v>27</v>
      </c>
      <c r="B257" s="13" t="s">
        <v>67</v>
      </c>
      <c r="C257" s="12" t="s">
        <v>64</v>
      </c>
      <c r="D257" s="14">
        <f>'Raw Data'!D16</f>
        <v>30505</v>
      </c>
    </row>
    <row r="258" ht="15.75" customHeight="1">
      <c r="A258" s="9" t="s">
        <v>27</v>
      </c>
      <c r="B258" s="10" t="s">
        <v>67</v>
      </c>
      <c r="C258" s="9" t="s">
        <v>65</v>
      </c>
      <c r="D258" s="11">
        <f>'Raw Data'!E16</f>
        <v>40281</v>
      </c>
    </row>
    <row r="259" ht="15.75" customHeight="1">
      <c r="A259" s="9" t="s">
        <v>27</v>
      </c>
      <c r="B259" s="10" t="s">
        <v>67</v>
      </c>
      <c r="C259" s="9" t="s">
        <v>66</v>
      </c>
      <c r="D259" s="11">
        <f>IF('Raw Data'!D16&gt;0, 'Raw Data'!E16/'Raw Data'!D16, 0)</f>
        <v>1.320472054</v>
      </c>
    </row>
    <row r="260" ht="15.75" customHeight="1">
      <c r="A260" s="9" t="s">
        <v>27</v>
      </c>
      <c r="B260" s="10" t="s">
        <v>68</v>
      </c>
      <c r="C260" s="9" t="s">
        <v>64</v>
      </c>
      <c r="D260" s="11">
        <f>'Raw Data'!F16</f>
        <v>30373</v>
      </c>
    </row>
    <row r="261" ht="15.75" customHeight="1">
      <c r="A261" s="12" t="s">
        <v>27</v>
      </c>
      <c r="B261" s="13" t="s">
        <v>68</v>
      </c>
      <c r="C261" s="12" t="s">
        <v>65</v>
      </c>
      <c r="D261" s="14">
        <f>'Raw Data'!G16</f>
        <v>24388</v>
      </c>
    </row>
    <row r="262" ht="15.75" customHeight="1">
      <c r="A262" s="12" t="s">
        <v>27</v>
      </c>
      <c r="B262" s="13" t="s">
        <v>68</v>
      </c>
      <c r="C262" s="12" t="s">
        <v>66</v>
      </c>
      <c r="D262" s="14">
        <f>IF('Raw Data'!F16&gt;0, 'Raw Data'!G16/'Raw Data'!F16, 0)</f>
        <v>0.8029499885</v>
      </c>
    </row>
    <row r="263" ht="15.75" customHeight="1">
      <c r="A263" s="12" t="s">
        <v>27</v>
      </c>
      <c r="B263" s="13" t="s">
        <v>69</v>
      </c>
      <c r="C263" s="12" t="s">
        <v>64</v>
      </c>
      <c r="D263" s="14">
        <f>'Raw Data'!H16</f>
        <v>30503</v>
      </c>
    </row>
    <row r="264" ht="15.75" customHeight="1">
      <c r="A264" s="9" t="s">
        <v>27</v>
      </c>
      <c r="B264" s="10" t="s">
        <v>69</v>
      </c>
      <c r="C264" s="9" t="s">
        <v>65</v>
      </c>
      <c r="D264" s="11">
        <f>'Raw Data'!I16</f>
        <v>13547</v>
      </c>
    </row>
    <row r="265" ht="15.75" customHeight="1">
      <c r="A265" s="9" t="s">
        <v>27</v>
      </c>
      <c r="B265" s="10" t="s">
        <v>69</v>
      </c>
      <c r="C265" s="9" t="s">
        <v>66</v>
      </c>
      <c r="D265" s="11">
        <f>IF('Raw Data'!H16&gt;0, 'Raw Data'!I16/'Raw Data'!H16, 0)</f>
        <v>0.4441202505</v>
      </c>
    </row>
    <row r="266" ht="15.75" customHeight="1">
      <c r="A266" s="9" t="s">
        <v>27</v>
      </c>
      <c r="B266" s="10" t="s">
        <v>70</v>
      </c>
      <c r="C266" s="9" t="s">
        <v>64</v>
      </c>
      <c r="D266" s="11">
        <f>'Raw Data'!J16</f>
        <v>38467</v>
      </c>
    </row>
    <row r="267" ht="15.75" customHeight="1">
      <c r="A267" s="12" t="s">
        <v>27</v>
      </c>
      <c r="B267" s="13" t="s">
        <v>70</v>
      </c>
      <c r="C267" s="12" t="s">
        <v>65</v>
      </c>
      <c r="D267" s="14">
        <f>'Raw Data'!K16</f>
        <v>49692</v>
      </c>
    </row>
    <row r="268" ht="15.75" customHeight="1">
      <c r="A268" s="12" t="s">
        <v>27</v>
      </c>
      <c r="B268" s="13" t="s">
        <v>70</v>
      </c>
      <c r="C268" s="12" t="s">
        <v>66</v>
      </c>
      <c r="D268" s="14">
        <f>IF('Raw Data'!J16&gt;0, 'Raw Data'!K16/'Raw Data'!J16, 0)</f>
        <v>1.291808563</v>
      </c>
    </row>
    <row r="269" ht="15.75" customHeight="1">
      <c r="A269" s="12" t="s">
        <v>27</v>
      </c>
      <c r="B269" s="16">
        <v>2024.0</v>
      </c>
      <c r="C269" s="12" t="s">
        <v>64</v>
      </c>
      <c r="D269" s="14">
        <f>'Raw Data'!L16</f>
        <v>28228</v>
      </c>
    </row>
    <row r="270" ht="15.75" customHeight="1">
      <c r="A270" s="9" t="s">
        <v>27</v>
      </c>
      <c r="B270" s="17">
        <v>2024.0</v>
      </c>
      <c r="C270" s="9" t="s">
        <v>65</v>
      </c>
      <c r="D270" s="11">
        <f>'Raw Data'!M16</f>
        <v>38468</v>
      </c>
    </row>
    <row r="271" ht="15.75" customHeight="1">
      <c r="A271" s="9" t="s">
        <v>27</v>
      </c>
      <c r="B271" s="17">
        <v>2024.0</v>
      </c>
      <c r="C271" s="9" t="s">
        <v>66</v>
      </c>
      <c r="D271" s="11">
        <f>IF('Raw Data'!L16&gt;0, 'Raw Data'!M16/'Raw Data'!L16, 0)</f>
        <v>1.36276038</v>
      </c>
    </row>
    <row r="272" ht="15.75" customHeight="1">
      <c r="A272" s="9" t="s">
        <v>28</v>
      </c>
      <c r="B272" s="10" t="s">
        <v>63</v>
      </c>
      <c r="C272" s="9" t="s">
        <v>64</v>
      </c>
      <c r="D272" s="11">
        <f>'Raw Data'!B17</f>
        <v>66625</v>
      </c>
    </row>
    <row r="273" ht="15.75" customHeight="1">
      <c r="A273" s="12" t="s">
        <v>28</v>
      </c>
      <c r="B273" s="13" t="s">
        <v>63</v>
      </c>
      <c r="C273" s="12" t="s">
        <v>65</v>
      </c>
      <c r="D273" s="14">
        <f>'Raw Data'!C17</f>
        <v>144480</v>
      </c>
    </row>
    <row r="274" ht="15.75" customHeight="1">
      <c r="A274" s="12" t="s">
        <v>28</v>
      </c>
      <c r="B274" s="13" t="s">
        <v>63</v>
      </c>
      <c r="C274" s="12" t="s">
        <v>66</v>
      </c>
      <c r="D274" s="14">
        <f>IF('Raw Data'!B17&gt;0, 'Raw Data'!C17/'Raw Data'!B17, 0)</f>
        <v>2.168555347</v>
      </c>
    </row>
    <row r="275" ht="15.75" customHeight="1">
      <c r="A275" s="12" t="s">
        <v>28</v>
      </c>
      <c r="B275" s="13" t="s">
        <v>67</v>
      </c>
      <c r="C275" s="12" t="s">
        <v>64</v>
      </c>
      <c r="D275" s="14">
        <f>'Raw Data'!D17</f>
        <v>67286</v>
      </c>
    </row>
    <row r="276" ht="15.75" customHeight="1">
      <c r="A276" s="9" t="s">
        <v>28</v>
      </c>
      <c r="B276" s="10" t="s">
        <v>67</v>
      </c>
      <c r="C276" s="9" t="s">
        <v>65</v>
      </c>
      <c r="D276" s="11">
        <f>'Raw Data'!E17</f>
        <v>132790</v>
      </c>
    </row>
    <row r="277" ht="15.75" customHeight="1">
      <c r="A277" s="9" t="s">
        <v>28</v>
      </c>
      <c r="B277" s="10" t="s">
        <v>67</v>
      </c>
      <c r="C277" s="9" t="s">
        <v>66</v>
      </c>
      <c r="D277" s="11">
        <f>IF('Raw Data'!D17&gt;0, 'Raw Data'!E17/'Raw Data'!D17, 0)</f>
        <v>1.973516036</v>
      </c>
    </row>
    <row r="278" ht="15.75" customHeight="1">
      <c r="A278" s="9" t="s">
        <v>28</v>
      </c>
      <c r="B278" s="10" t="s">
        <v>68</v>
      </c>
      <c r="C278" s="9" t="s">
        <v>64</v>
      </c>
      <c r="D278" s="11">
        <f>'Raw Data'!F17</f>
        <v>65876</v>
      </c>
    </row>
    <row r="279" ht="15.75" customHeight="1">
      <c r="A279" s="12" t="s">
        <v>28</v>
      </c>
      <c r="B279" s="13" t="s">
        <v>68</v>
      </c>
      <c r="C279" s="12" t="s">
        <v>65</v>
      </c>
      <c r="D279" s="14">
        <f>'Raw Data'!G17</f>
        <v>96249</v>
      </c>
    </row>
    <row r="280" ht="15.75" customHeight="1">
      <c r="A280" s="12" t="s">
        <v>28</v>
      </c>
      <c r="B280" s="13" t="s">
        <v>68</v>
      </c>
      <c r="C280" s="12" t="s">
        <v>66</v>
      </c>
      <c r="D280" s="14">
        <f>IF('Raw Data'!F17&gt;0, 'Raw Data'!G17/'Raw Data'!F17, 0)</f>
        <v>1.46106321</v>
      </c>
    </row>
    <row r="281" ht="15.75" customHeight="1">
      <c r="A281" s="12" t="s">
        <v>28</v>
      </c>
      <c r="B281" s="13" t="s">
        <v>69</v>
      </c>
      <c r="C281" s="12" t="s">
        <v>64</v>
      </c>
      <c r="D281" s="14">
        <f>'Raw Data'!H17</f>
        <v>43735</v>
      </c>
    </row>
    <row r="282" ht="15.75" customHeight="1">
      <c r="A282" s="9" t="s">
        <v>28</v>
      </c>
      <c r="B282" s="10" t="s">
        <v>69</v>
      </c>
      <c r="C282" s="9" t="s">
        <v>65</v>
      </c>
      <c r="D282" s="11">
        <f>'Raw Data'!I17</f>
        <v>79671</v>
      </c>
    </row>
    <row r="283" ht="15.75" customHeight="1">
      <c r="A283" s="9" t="s">
        <v>28</v>
      </c>
      <c r="B283" s="10" t="s">
        <v>69</v>
      </c>
      <c r="C283" s="9" t="s">
        <v>66</v>
      </c>
      <c r="D283" s="11">
        <f>IF('Raw Data'!H17&gt;0, 'Raw Data'!I17/'Raw Data'!H17, 0)</f>
        <v>1.821676003</v>
      </c>
    </row>
    <row r="284" ht="15.75" customHeight="1">
      <c r="A284" s="9" t="s">
        <v>28</v>
      </c>
      <c r="B284" s="10" t="s">
        <v>70</v>
      </c>
      <c r="C284" s="9" t="s">
        <v>64</v>
      </c>
      <c r="D284" s="11">
        <f>'Raw Data'!J17</f>
        <v>66221</v>
      </c>
    </row>
    <row r="285" ht="15.75" customHeight="1">
      <c r="A285" s="12" t="s">
        <v>28</v>
      </c>
      <c r="B285" s="13" t="s">
        <v>70</v>
      </c>
      <c r="C285" s="12" t="s">
        <v>65</v>
      </c>
      <c r="D285" s="14">
        <f>'Raw Data'!K17</f>
        <v>119244</v>
      </c>
    </row>
    <row r="286" ht="15.75" customHeight="1">
      <c r="A286" s="12" t="s">
        <v>28</v>
      </c>
      <c r="B286" s="13" t="s">
        <v>70</v>
      </c>
      <c r="C286" s="12" t="s">
        <v>66</v>
      </c>
      <c r="D286" s="14">
        <f>IF('Raw Data'!J17&gt;0, 'Raw Data'!K17/'Raw Data'!J17, 0)</f>
        <v>1.800697664</v>
      </c>
    </row>
    <row r="287" ht="15.75" customHeight="1">
      <c r="A287" s="12" t="s">
        <v>28</v>
      </c>
      <c r="B287" s="16">
        <v>2024.0</v>
      </c>
      <c r="C287" s="12" t="s">
        <v>64</v>
      </c>
      <c r="D287" s="14">
        <f>'Raw Data'!L17</f>
        <v>65900</v>
      </c>
    </row>
    <row r="288" ht="15.75" customHeight="1">
      <c r="A288" s="9" t="s">
        <v>28</v>
      </c>
      <c r="B288" s="17">
        <v>2024.0</v>
      </c>
      <c r="C288" s="9" t="s">
        <v>65</v>
      </c>
      <c r="D288" s="11">
        <f>'Raw Data'!M17</f>
        <v>41087</v>
      </c>
    </row>
    <row r="289" ht="15.75" customHeight="1">
      <c r="A289" s="9" t="s">
        <v>28</v>
      </c>
      <c r="B289" s="17">
        <v>2024.0</v>
      </c>
      <c r="C289" s="9" t="s">
        <v>66</v>
      </c>
      <c r="D289" s="11">
        <f>IF('Raw Data'!L17&gt;0, 'Raw Data'!M17/'Raw Data'!L17, 0)</f>
        <v>0.6234749621</v>
      </c>
    </row>
    <row r="290" ht="15.75" customHeight="1">
      <c r="A290" s="9" t="s">
        <v>29</v>
      </c>
      <c r="B290" s="10" t="s">
        <v>63</v>
      </c>
      <c r="C290" s="9" t="s">
        <v>64</v>
      </c>
      <c r="D290" s="11">
        <f>'Raw Data'!B18</f>
        <v>50228</v>
      </c>
    </row>
    <row r="291" ht="15.75" customHeight="1">
      <c r="A291" s="12" t="s">
        <v>29</v>
      </c>
      <c r="B291" s="13" t="s">
        <v>63</v>
      </c>
      <c r="C291" s="12" t="s">
        <v>65</v>
      </c>
      <c r="D291" s="14">
        <f>'Raw Data'!C18</f>
        <v>69956</v>
      </c>
    </row>
    <row r="292" ht="15.75" customHeight="1">
      <c r="A292" s="12" t="s">
        <v>29</v>
      </c>
      <c r="B292" s="13" t="s">
        <v>63</v>
      </c>
      <c r="C292" s="12" t="s">
        <v>66</v>
      </c>
      <c r="D292" s="14">
        <f>IF('Raw Data'!B18&gt;0, 'Raw Data'!C18/'Raw Data'!B18, 0)</f>
        <v>1.392768973</v>
      </c>
    </row>
    <row r="293" ht="15.75" customHeight="1">
      <c r="A293" s="12" t="s">
        <v>29</v>
      </c>
      <c r="B293" s="13" t="s">
        <v>67</v>
      </c>
      <c r="C293" s="12" t="s">
        <v>64</v>
      </c>
      <c r="D293" s="14">
        <f>'Raw Data'!D18</f>
        <v>46307</v>
      </c>
    </row>
    <row r="294" ht="15.75" customHeight="1">
      <c r="A294" s="9" t="s">
        <v>29</v>
      </c>
      <c r="B294" s="10" t="s">
        <v>67</v>
      </c>
      <c r="C294" s="9" t="s">
        <v>65</v>
      </c>
      <c r="D294" s="11">
        <f>'Raw Data'!E18</f>
        <v>67307</v>
      </c>
    </row>
    <row r="295" ht="15.75" customHeight="1">
      <c r="A295" s="9" t="s">
        <v>29</v>
      </c>
      <c r="B295" s="10" t="s">
        <v>67</v>
      </c>
      <c r="C295" s="9" t="s">
        <v>66</v>
      </c>
      <c r="D295" s="11">
        <f>IF('Raw Data'!D18&gt;0, 'Raw Data'!E18/'Raw Data'!D18, 0)</f>
        <v>1.453495152</v>
      </c>
    </row>
    <row r="296" ht="15.75" customHeight="1">
      <c r="A296" s="9" t="s">
        <v>29</v>
      </c>
      <c r="B296" s="10" t="s">
        <v>68</v>
      </c>
      <c r="C296" s="9" t="s">
        <v>64</v>
      </c>
      <c r="D296" s="11">
        <f>'Raw Data'!F18</f>
        <v>62600</v>
      </c>
    </row>
    <row r="297" ht="15.75" customHeight="1">
      <c r="A297" s="12" t="s">
        <v>29</v>
      </c>
      <c r="B297" s="13" t="s">
        <v>68</v>
      </c>
      <c r="C297" s="12" t="s">
        <v>65</v>
      </c>
      <c r="D297" s="14">
        <f>'Raw Data'!G18</f>
        <v>40990</v>
      </c>
    </row>
    <row r="298" ht="15.75" customHeight="1">
      <c r="A298" s="12" t="s">
        <v>29</v>
      </c>
      <c r="B298" s="13" t="s">
        <v>68</v>
      </c>
      <c r="C298" s="12" t="s">
        <v>66</v>
      </c>
      <c r="D298" s="14">
        <f>IF('Raw Data'!F18&gt;0, 'Raw Data'!G18/'Raw Data'!F18, 0)</f>
        <v>0.6547923323</v>
      </c>
    </row>
    <row r="299" ht="15.75" customHeight="1">
      <c r="A299" s="12" t="s">
        <v>29</v>
      </c>
      <c r="B299" s="13" t="s">
        <v>69</v>
      </c>
      <c r="C299" s="12" t="s">
        <v>64</v>
      </c>
      <c r="D299" s="14">
        <f>'Raw Data'!H18</f>
        <v>54125</v>
      </c>
    </row>
    <row r="300" ht="15.75" customHeight="1">
      <c r="A300" s="9" t="s">
        <v>29</v>
      </c>
      <c r="B300" s="10" t="s">
        <v>69</v>
      </c>
      <c r="C300" s="9" t="s">
        <v>65</v>
      </c>
      <c r="D300" s="11">
        <f>'Raw Data'!I18</f>
        <v>34513</v>
      </c>
    </row>
    <row r="301" ht="15.75" customHeight="1">
      <c r="A301" s="9" t="s">
        <v>29</v>
      </c>
      <c r="B301" s="10" t="s">
        <v>69</v>
      </c>
      <c r="C301" s="9" t="s">
        <v>66</v>
      </c>
      <c r="D301" s="11">
        <f>IF('Raw Data'!H18&gt;0, 'Raw Data'!I18/'Raw Data'!H18, 0)</f>
        <v>0.6376535797</v>
      </c>
    </row>
    <row r="302" ht="15.75" customHeight="1">
      <c r="A302" s="9" t="s">
        <v>29</v>
      </c>
      <c r="B302" s="10" t="s">
        <v>70</v>
      </c>
      <c r="C302" s="9" t="s">
        <v>64</v>
      </c>
      <c r="D302" s="11">
        <f>'Raw Data'!J18</f>
        <v>62195</v>
      </c>
    </row>
    <row r="303" ht="15.75" customHeight="1">
      <c r="A303" s="12" t="s">
        <v>29</v>
      </c>
      <c r="B303" s="13" t="s">
        <v>70</v>
      </c>
      <c r="C303" s="12" t="s">
        <v>65</v>
      </c>
      <c r="D303" s="14">
        <f>'Raw Data'!K18</f>
        <v>105003</v>
      </c>
    </row>
    <row r="304" ht="15.75" customHeight="1">
      <c r="A304" s="12" t="s">
        <v>29</v>
      </c>
      <c r="B304" s="13" t="s">
        <v>70</v>
      </c>
      <c r="C304" s="12" t="s">
        <v>66</v>
      </c>
      <c r="D304" s="14">
        <f>IF('Raw Data'!J18&gt;0, 'Raw Data'!K18/'Raw Data'!J18, 0)</f>
        <v>1.68828684</v>
      </c>
    </row>
    <row r="305" ht="15.75" customHeight="1">
      <c r="A305" s="12" t="s">
        <v>29</v>
      </c>
      <c r="B305" s="16">
        <v>2024.0</v>
      </c>
      <c r="C305" s="12" t="s">
        <v>64</v>
      </c>
      <c r="D305" s="14">
        <f>'Raw Data'!L18</f>
        <v>48400</v>
      </c>
    </row>
    <row r="306" ht="15.75" customHeight="1">
      <c r="A306" s="9" t="s">
        <v>29</v>
      </c>
      <c r="B306" s="17">
        <v>2024.0</v>
      </c>
      <c r="C306" s="9" t="s">
        <v>65</v>
      </c>
      <c r="D306" s="11">
        <f>'Raw Data'!M18</f>
        <v>58657</v>
      </c>
    </row>
    <row r="307" ht="15.75" customHeight="1">
      <c r="A307" s="9" t="s">
        <v>29</v>
      </c>
      <c r="B307" s="17">
        <v>2024.0</v>
      </c>
      <c r="C307" s="9" t="s">
        <v>66</v>
      </c>
      <c r="D307" s="11">
        <f>IF('Raw Data'!L18&gt;0, 'Raw Data'!M18/'Raw Data'!L18, 0)</f>
        <v>1.211921488</v>
      </c>
    </row>
    <row r="308" ht="15.75" customHeight="1">
      <c r="A308" s="9" t="s">
        <v>30</v>
      </c>
      <c r="B308" s="10" t="s">
        <v>63</v>
      </c>
      <c r="C308" s="9" t="s">
        <v>64</v>
      </c>
      <c r="D308" s="11">
        <f>'Raw Data'!B19</f>
        <v>76901</v>
      </c>
    </row>
    <row r="309" ht="15.75" customHeight="1">
      <c r="A309" s="12" t="s">
        <v>30</v>
      </c>
      <c r="B309" s="13" t="s">
        <v>63</v>
      </c>
      <c r="C309" s="12" t="s">
        <v>65</v>
      </c>
      <c r="D309" s="14">
        <f>'Raw Data'!C19</f>
        <v>98046</v>
      </c>
    </row>
    <row r="310" ht="15.75" customHeight="1">
      <c r="A310" s="12" t="s">
        <v>30</v>
      </c>
      <c r="B310" s="13" t="s">
        <v>63</v>
      </c>
      <c r="C310" s="12" t="s">
        <v>66</v>
      </c>
      <c r="D310" s="14">
        <f>IF('Raw Data'!B19&gt;0, 'Raw Data'!C19/'Raw Data'!B19, 0)</f>
        <v>1.274963915</v>
      </c>
    </row>
    <row r="311" ht="15.75" customHeight="1">
      <c r="A311" s="12" t="s">
        <v>30</v>
      </c>
      <c r="B311" s="13" t="s">
        <v>67</v>
      </c>
      <c r="C311" s="12" t="s">
        <v>64</v>
      </c>
      <c r="D311" s="14">
        <f>'Raw Data'!D19</f>
        <v>87252</v>
      </c>
    </row>
    <row r="312" ht="15.75" customHeight="1">
      <c r="A312" s="9" t="s">
        <v>30</v>
      </c>
      <c r="B312" s="10" t="s">
        <v>67</v>
      </c>
      <c r="C312" s="9" t="s">
        <v>65</v>
      </c>
      <c r="D312" s="11">
        <f>'Raw Data'!E19</f>
        <v>27960</v>
      </c>
    </row>
    <row r="313" ht="15.75" customHeight="1">
      <c r="A313" s="9" t="s">
        <v>30</v>
      </c>
      <c r="B313" s="10" t="s">
        <v>67</v>
      </c>
      <c r="C313" s="9" t="s">
        <v>66</v>
      </c>
      <c r="D313" s="11">
        <f>IF('Raw Data'!D19&gt;0, 'Raw Data'!E19/'Raw Data'!D19, 0)</f>
        <v>0.3204511071</v>
      </c>
    </row>
    <row r="314" ht="15.75" customHeight="1">
      <c r="A314" s="9" t="s">
        <v>30</v>
      </c>
      <c r="B314" s="10" t="s">
        <v>68</v>
      </c>
      <c r="C314" s="9" t="s">
        <v>64</v>
      </c>
      <c r="D314" s="11">
        <f>'Raw Data'!F19</f>
        <v>79035</v>
      </c>
    </row>
    <row r="315" ht="15.75" customHeight="1">
      <c r="A315" s="12" t="s">
        <v>30</v>
      </c>
      <c r="B315" s="13" t="s">
        <v>68</v>
      </c>
      <c r="C315" s="12" t="s">
        <v>65</v>
      </c>
      <c r="D315" s="14">
        <f>'Raw Data'!G19</f>
        <v>11508</v>
      </c>
    </row>
    <row r="316" ht="15.75" customHeight="1">
      <c r="A316" s="12" t="s">
        <v>30</v>
      </c>
      <c r="B316" s="13" t="s">
        <v>68</v>
      </c>
      <c r="C316" s="12" t="s">
        <v>66</v>
      </c>
      <c r="D316" s="14">
        <f>IF('Raw Data'!F19&gt;0, 'Raw Data'!G19/'Raw Data'!F19, 0)</f>
        <v>0.1456063769</v>
      </c>
    </row>
    <row r="317" ht="15.75" customHeight="1">
      <c r="A317" s="12" t="s">
        <v>30</v>
      </c>
      <c r="B317" s="13" t="s">
        <v>69</v>
      </c>
      <c r="C317" s="12" t="s">
        <v>64</v>
      </c>
      <c r="D317" s="14">
        <f>'Raw Data'!H19</f>
        <v>62987</v>
      </c>
    </row>
    <row r="318" ht="15.75" customHeight="1">
      <c r="A318" s="9" t="s">
        <v>30</v>
      </c>
      <c r="B318" s="10" t="s">
        <v>69</v>
      </c>
      <c r="C318" s="9" t="s">
        <v>65</v>
      </c>
      <c r="D318" s="11">
        <f>'Raw Data'!I19</f>
        <v>9183</v>
      </c>
    </row>
    <row r="319" ht="15.75" customHeight="1">
      <c r="A319" s="9" t="s">
        <v>30</v>
      </c>
      <c r="B319" s="10" t="s">
        <v>69</v>
      </c>
      <c r="C319" s="9" t="s">
        <v>66</v>
      </c>
      <c r="D319" s="11">
        <f>IF('Raw Data'!H19&gt;0, 'Raw Data'!I19/'Raw Data'!H19, 0)</f>
        <v>0.1457919888</v>
      </c>
    </row>
    <row r="320" ht="15.75" customHeight="1">
      <c r="A320" s="9" t="s">
        <v>30</v>
      </c>
      <c r="B320" s="10" t="s">
        <v>70</v>
      </c>
      <c r="C320" s="9" t="s">
        <v>64</v>
      </c>
      <c r="D320" s="11">
        <f>'Raw Data'!J19</f>
        <v>83618</v>
      </c>
    </row>
    <row r="321" ht="15.75" customHeight="1">
      <c r="A321" s="12" t="s">
        <v>30</v>
      </c>
      <c r="B321" s="13" t="s">
        <v>70</v>
      </c>
      <c r="C321" s="12" t="s">
        <v>65</v>
      </c>
      <c r="D321" s="14">
        <f>'Raw Data'!K19</f>
        <v>36292</v>
      </c>
    </row>
    <row r="322" ht="15.75" customHeight="1">
      <c r="A322" s="12" t="s">
        <v>30</v>
      </c>
      <c r="B322" s="13" t="s">
        <v>70</v>
      </c>
      <c r="C322" s="12" t="s">
        <v>66</v>
      </c>
      <c r="D322" s="14">
        <f>IF('Raw Data'!J19&gt;0, 'Raw Data'!K19/'Raw Data'!J19, 0)</f>
        <v>0.434021383</v>
      </c>
    </row>
    <row r="323" ht="15.75" customHeight="1">
      <c r="A323" s="12" t="s">
        <v>30</v>
      </c>
      <c r="B323" s="16">
        <v>2024.0</v>
      </c>
      <c r="C323" s="12" t="s">
        <v>64</v>
      </c>
      <c r="D323" s="14">
        <f>'Raw Data'!L19</f>
        <v>89423</v>
      </c>
    </row>
    <row r="324" ht="15.75" customHeight="1">
      <c r="A324" s="9" t="s">
        <v>30</v>
      </c>
      <c r="B324" s="17">
        <v>2024.0</v>
      </c>
      <c r="C324" s="9" t="s">
        <v>65</v>
      </c>
      <c r="D324" s="11">
        <f>'Raw Data'!M19</f>
        <v>17845</v>
      </c>
    </row>
    <row r="325" ht="15.75" customHeight="1">
      <c r="A325" s="9" t="s">
        <v>30</v>
      </c>
      <c r="B325" s="17">
        <v>2024.0</v>
      </c>
      <c r="C325" s="9" t="s">
        <v>66</v>
      </c>
      <c r="D325" s="11">
        <f>IF('Raw Data'!L19&gt;0, 'Raw Data'!M19/'Raw Data'!L19, 0)</f>
        <v>0.1995571609</v>
      </c>
    </row>
    <row r="326" ht="15.75" customHeight="1">
      <c r="A326" s="9" t="s">
        <v>31</v>
      </c>
      <c r="B326" s="10" t="s">
        <v>63</v>
      </c>
      <c r="C326" s="9" t="s">
        <v>64</v>
      </c>
      <c r="D326" s="11">
        <f>'Raw Data'!B20</f>
        <v>65500</v>
      </c>
    </row>
    <row r="327" ht="15.75" customHeight="1">
      <c r="A327" s="12" t="s">
        <v>31</v>
      </c>
      <c r="B327" s="13" t="s">
        <v>63</v>
      </c>
      <c r="C327" s="12" t="s">
        <v>65</v>
      </c>
      <c r="D327" s="14">
        <f>'Raw Data'!C20</f>
        <v>35485</v>
      </c>
    </row>
    <row r="328" ht="15.75" customHeight="1">
      <c r="A328" s="12" t="s">
        <v>31</v>
      </c>
      <c r="B328" s="13" t="s">
        <v>63</v>
      </c>
      <c r="C328" s="12" t="s">
        <v>66</v>
      </c>
      <c r="D328" s="14">
        <f>IF('Raw Data'!B20&gt;0, 'Raw Data'!C20/'Raw Data'!B20, 0)</f>
        <v>0.5417557252</v>
      </c>
    </row>
    <row r="329" ht="15.75" customHeight="1">
      <c r="A329" s="12" t="s">
        <v>31</v>
      </c>
      <c r="B329" s="13" t="s">
        <v>67</v>
      </c>
      <c r="C329" s="12" t="s">
        <v>64</v>
      </c>
      <c r="D329" s="14">
        <f>'Raw Data'!D20</f>
        <v>56576</v>
      </c>
    </row>
    <row r="330" ht="15.75" customHeight="1">
      <c r="A330" s="9" t="s">
        <v>31</v>
      </c>
      <c r="B330" s="10" t="s">
        <v>67</v>
      </c>
      <c r="C330" s="9" t="s">
        <v>65</v>
      </c>
      <c r="D330" s="11">
        <f>'Raw Data'!E20</f>
        <v>34061</v>
      </c>
    </row>
    <row r="331" ht="15.75" customHeight="1">
      <c r="A331" s="9" t="s">
        <v>31</v>
      </c>
      <c r="B331" s="10" t="s">
        <v>67</v>
      </c>
      <c r="C331" s="9" t="s">
        <v>66</v>
      </c>
      <c r="D331" s="11">
        <f>IF('Raw Data'!D20&gt;0, 'Raw Data'!E20/'Raw Data'!D20, 0)</f>
        <v>0.6020397342</v>
      </c>
    </row>
    <row r="332" ht="15.75" customHeight="1">
      <c r="A332" s="9" t="s">
        <v>31</v>
      </c>
      <c r="B332" s="10" t="s">
        <v>68</v>
      </c>
      <c r="C332" s="9" t="s">
        <v>64</v>
      </c>
      <c r="D332" s="11">
        <f>'Raw Data'!F20</f>
        <v>56128</v>
      </c>
    </row>
    <row r="333" ht="15.75" customHeight="1">
      <c r="A333" s="12" t="s">
        <v>31</v>
      </c>
      <c r="B333" s="13" t="s">
        <v>68</v>
      </c>
      <c r="C333" s="12" t="s">
        <v>65</v>
      </c>
      <c r="D333" s="14">
        <f>'Raw Data'!G20</f>
        <v>33815</v>
      </c>
    </row>
    <row r="334" ht="15.75" customHeight="1">
      <c r="A334" s="12" t="s">
        <v>31</v>
      </c>
      <c r="B334" s="13" t="s">
        <v>68</v>
      </c>
      <c r="C334" s="12" t="s">
        <v>66</v>
      </c>
      <c r="D334" s="14">
        <f>IF('Raw Data'!F20&gt;0, 'Raw Data'!G20/'Raw Data'!F20, 0)</f>
        <v>0.6024622292</v>
      </c>
    </row>
    <row r="335" ht="15.75" customHeight="1">
      <c r="A335" s="12" t="s">
        <v>31</v>
      </c>
      <c r="B335" s="13" t="s">
        <v>69</v>
      </c>
      <c r="C335" s="12" t="s">
        <v>64</v>
      </c>
      <c r="D335" s="14">
        <f>'Raw Data'!H20</f>
        <v>23200</v>
      </c>
    </row>
    <row r="336" ht="15.75" customHeight="1">
      <c r="A336" s="9" t="s">
        <v>31</v>
      </c>
      <c r="B336" s="10" t="s">
        <v>69</v>
      </c>
      <c r="C336" s="9" t="s">
        <v>65</v>
      </c>
      <c r="D336" s="11">
        <f>'Raw Data'!I20</f>
        <v>45428</v>
      </c>
    </row>
    <row r="337" ht="15.75" customHeight="1">
      <c r="A337" s="9" t="s">
        <v>31</v>
      </c>
      <c r="B337" s="10" t="s">
        <v>69</v>
      </c>
      <c r="C337" s="9" t="s">
        <v>66</v>
      </c>
      <c r="D337" s="11">
        <f>IF('Raw Data'!H20&gt;0, 'Raw Data'!I20/'Raw Data'!H20, 0)</f>
        <v>1.958103448</v>
      </c>
    </row>
    <row r="338" ht="15.75" customHeight="1">
      <c r="A338" s="9" t="s">
        <v>31</v>
      </c>
      <c r="B338" s="10" t="s">
        <v>70</v>
      </c>
      <c r="C338" s="9" t="s">
        <v>64</v>
      </c>
      <c r="D338" s="11">
        <f>'Raw Data'!J20</f>
        <v>60518</v>
      </c>
    </row>
    <row r="339" ht="15.75" customHeight="1">
      <c r="A339" s="12" t="s">
        <v>31</v>
      </c>
      <c r="B339" s="13" t="s">
        <v>70</v>
      </c>
      <c r="C339" s="12" t="s">
        <v>65</v>
      </c>
      <c r="D339" s="14">
        <f>'Raw Data'!K20</f>
        <v>61037</v>
      </c>
    </row>
    <row r="340" ht="15.75" customHeight="1">
      <c r="A340" s="12" t="s">
        <v>31</v>
      </c>
      <c r="B340" s="13" t="s">
        <v>70</v>
      </c>
      <c r="C340" s="12" t="s">
        <v>66</v>
      </c>
      <c r="D340" s="14">
        <f>IF('Raw Data'!J20&gt;0, 'Raw Data'!K20/'Raw Data'!J20, 0)</f>
        <v>1.008575961</v>
      </c>
    </row>
    <row r="341" ht="15.75" customHeight="1">
      <c r="A341" s="12" t="s">
        <v>31</v>
      </c>
      <c r="B341" s="16">
        <v>2024.0</v>
      </c>
      <c r="C341" s="12" t="s">
        <v>64</v>
      </c>
      <c r="D341" s="14">
        <f>'Raw Data'!L20</f>
        <v>58116</v>
      </c>
    </row>
    <row r="342" ht="15.75" customHeight="1">
      <c r="A342" s="9" t="s">
        <v>31</v>
      </c>
      <c r="B342" s="17">
        <v>2024.0</v>
      </c>
      <c r="C342" s="9" t="s">
        <v>65</v>
      </c>
      <c r="D342" s="11">
        <f>'Raw Data'!M20</f>
        <v>44127</v>
      </c>
    </row>
    <row r="343" ht="15.75" customHeight="1">
      <c r="A343" s="9" t="s">
        <v>31</v>
      </c>
      <c r="B343" s="17">
        <v>2024.0</v>
      </c>
      <c r="C343" s="9" t="s">
        <v>66</v>
      </c>
      <c r="D343" s="11">
        <f>IF('Raw Data'!L20&gt;0, 'Raw Data'!M20/'Raw Data'!L20, 0)</f>
        <v>0.7592917613</v>
      </c>
    </row>
    <row r="344" ht="15.75" customHeight="1">
      <c r="A344" s="9" t="s">
        <v>32</v>
      </c>
      <c r="B344" s="10" t="s">
        <v>63</v>
      </c>
      <c r="C344" s="9" t="s">
        <v>64</v>
      </c>
      <c r="D344" s="11">
        <f>'Raw Data'!B21</f>
        <v>25260</v>
      </c>
    </row>
    <row r="345" ht="15.75" customHeight="1">
      <c r="A345" s="12" t="s">
        <v>32</v>
      </c>
      <c r="B345" s="13" t="s">
        <v>63</v>
      </c>
      <c r="C345" s="12" t="s">
        <v>65</v>
      </c>
      <c r="D345" s="14">
        <f>'Raw Data'!C21</f>
        <v>44843</v>
      </c>
    </row>
    <row r="346" ht="15.75" customHeight="1">
      <c r="A346" s="12" t="s">
        <v>32</v>
      </c>
      <c r="B346" s="13" t="s">
        <v>63</v>
      </c>
      <c r="C346" s="12" t="s">
        <v>66</v>
      </c>
      <c r="D346" s="14">
        <f>IF('Raw Data'!B21&gt;0, 'Raw Data'!C21/'Raw Data'!B21, 0)</f>
        <v>1.775257324</v>
      </c>
    </row>
    <row r="347" ht="15.75" customHeight="1">
      <c r="A347" s="12" t="s">
        <v>32</v>
      </c>
      <c r="B347" s="13" t="s">
        <v>67</v>
      </c>
      <c r="C347" s="12" t="s">
        <v>64</v>
      </c>
      <c r="D347" s="14">
        <f>'Raw Data'!D21</f>
        <v>26470</v>
      </c>
    </row>
    <row r="348" ht="15.75" customHeight="1">
      <c r="A348" s="9" t="s">
        <v>32</v>
      </c>
      <c r="B348" s="10" t="s">
        <v>67</v>
      </c>
      <c r="C348" s="9" t="s">
        <v>65</v>
      </c>
      <c r="D348" s="11">
        <f>'Raw Data'!E21</f>
        <v>39422</v>
      </c>
    </row>
    <row r="349" ht="15.75" customHeight="1">
      <c r="A349" s="9" t="s">
        <v>32</v>
      </c>
      <c r="B349" s="10" t="s">
        <v>67</v>
      </c>
      <c r="C349" s="9" t="s">
        <v>66</v>
      </c>
      <c r="D349" s="11">
        <f>IF('Raw Data'!D21&gt;0, 'Raw Data'!E21/'Raw Data'!D21, 0)</f>
        <v>1.489308651</v>
      </c>
    </row>
    <row r="350" ht="15.75" customHeight="1">
      <c r="A350" s="9" t="s">
        <v>32</v>
      </c>
      <c r="B350" s="10" t="s">
        <v>68</v>
      </c>
      <c r="C350" s="9" t="s">
        <v>64</v>
      </c>
      <c r="D350" s="11">
        <f>'Raw Data'!F21</f>
        <v>24932</v>
      </c>
    </row>
    <row r="351" ht="15.75" customHeight="1">
      <c r="A351" s="12" t="s">
        <v>32</v>
      </c>
      <c r="B351" s="13" t="s">
        <v>68</v>
      </c>
      <c r="C351" s="12" t="s">
        <v>65</v>
      </c>
      <c r="D351" s="14">
        <f>'Raw Data'!G21</f>
        <v>34520</v>
      </c>
    </row>
    <row r="352" ht="15.75" customHeight="1">
      <c r="A352" s="12" t="s">
        <v>32</v>
      </c>
      <c r="B352" s="13" t="s">
        <v>68</v>
      </c>
      <c r="C352" s="12" t="s">
        <v>66</v>
      </c>
      <c r="D352" s="14">
        <f>IF('Raw Data'!F21&gt;0, 'Raw Data'!G21/'Raw Data'!F21, 0)</f>
        <v>1.38456602</v>
      </c>
    </row>
    <row r="353" ht="15.75" customHeight="1">
      <c r="A353" s="12" t="s">
        <v>32</v>
      </c>
      <c r="B353" s="13" t="s">
        <v>69</v>
      </c>
      <c r="C353" s="12" t="s">
        <v>64</v>
      </c>
      <c r="D353" s="14">
        <f>'Raw Data'!H21</f>
        <v>25055</v>
      </c>
    </row>
    <row r="354" ht="15.75" customHeight="1">
      <c r="A354" s="9" t="s">
        <v>32</v>
      </c>
      <c r="B354" s="10" t="s">
        <v>69</v>
      </c>
      <c r="C354" s="9" t="s">
        <v>65</v>
      </c>
      <c r="D354" s="11">
        <f>'Raw Data'!I21</f>
        <v>7288</v>
      </c>
    </row>
    <row r="355" ht="15.75" customHeight="1">
      <c r="A355" s="9" t="s">
        <v>32</v>
      </c>
      <c r="B355" s="10" t="s">
        <v>69</v>
      </c>
      <c r="C355" s="9" t="s">
        <v>66</v>
      </c>
      <c r="D355" s="11">
        <f>IF('Raw Data'!H21&gt;0, 'Raw Data'!I21/'Raw Data'!H21, 0)</f>
        <v>0.2908800639</v>
      </c>
    </row>
    <row r="356" ht="15.75" customHeight="1">
      <c r="A356" s="9" t="s">
        <v>32</v>
      </c>
      <c r="B356" s="10" t="s">
        <v>70</v>
      </c>
      <c r="C356" s="9" t="s">
        <v>64</v>
      </c>
      <c r="D356" s="11">
        <f>'Raw Data'!J21</f>
        <v>29596</v>
      </c>
    </row>
    <row r="357" ht="15.75" customHeight="1">
      <c r="A357" s="12" t="s">
        <v>32</v>
      </c>
      <c r="B357" s="13" t="s">
        <v>70</v>
      </c>
      <c r="C357" s="12" t="s">
        <v>65</v>
      </c>
      <c r="D357" s="14">
        <f>'Raw Data'!K21</f>
        <v>44264</v>
      </c>
    </row>
    <row r="358" ht="15.75" customHeight="1">
      <c r="A358" s="12" t="s">
        <v>32</v>
      </c>
      <c r="B358" s="13" t="s">
        <v>70</v>
      </c>
      <c r="C358" s="12" t="s">
        <v>66</v>
      </c>
      <c r="D358" s="14">
        <f>IF('Raw Data'!J21&gt;0, 'Raw Data'!K21/'Raw Data'!J21, 0)</f>
        <v>1.495607515</v>
      </c>
    </row>
    <row r="359" ht="15.75" customHeight="1">
      <c r="A359" s="12" t="s">
        <v>32</v>
      </c>
      <c r="B359" s="16">
        <v>2024.0</v>
      </c>
      <c r="C359" s="12" t="s">
        <v>64</v>
      </c>
      <c r="D359" s="14">
        <f>'Raw Data'!L21</f>
        <v>29240</v>
      </c>
    </row>
    <row r="360" ht="15.75" customHeight="1">
      <c r="A360" s="9" t="s">
        <v>32</v>
      </c>
      <c r="B360" s="17">
        <v>2024.0</v>
      </c>
      <c r="C360" s="9" t="s">
        <v>65</v>
      </c>
      <c r="D360" s="11">
        <f>'Raw Data'!M21</f>
        <v>51372</v>
      </c>
    </row>
    <row r="361" ht="15.75" customHeight="1">
      <c r="A361" s="9" t="s">
        <v>32</v>
      </c>
      <c r="B361" s="17">
        <v>2024.0</v>
      </c>
      <c r="C361" s="9" t="s">
        <v>66</v>
      </c>
      <c r="D361" s="11">
        <f>IF('Raw Data'!L21&gt;0, 'Raw Data'!M21/'Raw Data'!L21, 0)</f>
        <v>1.756908345</v>
      </c>
    </row>
    <row r="362" ht="15.75" customHeight="1">
      <c r="A362" s="9" t="s">
        <v>33</v>
      </c>
      <c r="B362" s="10" t="s">
        <v>63</v>
      </c>
      <c r="C362" s="9" t="s">
        <v>64</v>
      </c>
      <c r="D362" s="11">
        <f>'Raw Data'!B22</f>
        <v>29350</v>
      </c>
    </row>
    <row r="363" ht="15.75" customHeight="1">
      <c r="A363" s="12" t="s">
        <v>33</v>
      </c>
      <c r="B363" s="13" t="s">
        <v>63</v>
      </c>
      <c r="C363" s="12" t="s">
        <v>65</v>
      </c>
      <c r="D363" s="14">
        <f>'Raw Data'!C22</f>
        <v>53232</v>
      </c>
    </row>
    <row r="364" ht="15.75" customHeight="1">
      <c r="A364" s="12" t="s">
        <v>33</v>
      </c>
      <c r="B364" s="13" t="s">
        <v>63</v>
      </c>
      <c r="C364" s="12" t="s">
        <v>66</v>
      </c>
      <c r="D364" s="14">
        <f>IF('Raw Data'!B22&gt;0, 'Raw Data'!C22/'Raw Data'!B22, 0)</f>
        <v>1.813696763</v>
      </c>
    </row>
    <row r="365" ht="15.75" customHeight="1">
      <c r="A365" s="12" t="s">
        <v>33</v>
      </c>
      <c r="B365" s="13" t="s">
        <v>67</v>
      </c>
      <c r="C365" s="12" t="s">
        <v>64</v>
      </c>
      <c r="D365" s="14">
        <f>'Raw Data'!D22</f>
        <v>37500</v>
      </c>
    </row>
    <row r="366" ht="15.75" customHeight="1">
      <c r="A366" s="9" t="s">
        <v>33</v>
      </c>
      <c r="B366" s="10" t="s">
        <v>67</v>
      </c>
      <c r="C366" s="9" t="s">
        <v>65</v>
      </c>
      <c r="D366" s="11">
        <f>'Raw Data'!E22</f>
        <v>28325</v>
      </c>
    </row>
    <row r="367" ht="15.75" customHeight="1">
      <c r="A367" s="9" t="s">
        <v>33</v>
      </c>
      <c r="B367" s="10" t="s">
        <v>67</v>
      </c>
      <c r="C367" s="9" t="s">
        <v>66</v>
      </c>
      <c r="D367" s="11">
        <f>IF('Raw Data'!D22&gt;0, 'Raw Data'!E22/'Raw Data'!D22, 0)</f>
        <v>0.7553333333</v>
      </c>
    </row>
    <row r="368" ht="15.75" customHeight="1">
      <c r="A368" s="9" t="s">
        <v>33</v>
      </c>
      <c r="B368" s="10" t="s">
        <v>68</v>
      </c>
      <c r="C368" s="9" t="s">
        <v>64</v>
      </c>
      <c r="D368" s="11">
        <f>'Raw Data'!F22</f>
        <v>16820</v>
      </c>
    </row>
    <row r="369" ht="15.75" customHeight="1">
      <c r="A369" s="12" t="s">
        <v>33</v>
      </c>
      <c r="B369" s="13" t="s">
        <v>68</v>
      </c>
      <c r="C369" s="12" t="s">
        <v>65</v>
      </c>
      <c r="D369" s="14">
        <f>'Raw Data'!G22</f>
        <v>4772</v>
      </c>
    </row>
    <row r="370" ht="15.75" customHeight="1">
      <c r="A370" s="12" t="s">
        <v>33</v>
      </c>
      <c r="B370" s="13" t="s">
        <v>68</v>
      </c>
      <c r="C370" s="12" t="s">
        <v>66</v>
      </c>
      <c r="D370" s="14">
        <f>IF('Raw Data'!F22&gt;0, 'Raw Data'!G22/'Raw Data'!F22, 0)</f>
        <v>0.2837098692</v>
      </c>
    </row>
    <row r="371" ht="15.75" customHeight="1">
      <c r="A371" s="12" t="s">
        <v>33</v>
      </c>
      <c r="B371" s="13" t="s">
        <v>69</v>
      </c>
      <c r="C371" s="12" t="s">
        <v>64</v>
      </c>
      <c r="D371" s="14">
        <f>'Raw Data'!H22</f>
        <v>39502</v>
      </c>
    </row>
    <row r="372" ht="15.75" customHeight="1">
      <c r="A372" s="9" t="s">
        <v>33</v>
      </c>
      <c r="B372" s="10" t="s">
        <v>69</v>
      </c>
      <c r="C372" s="9" t="s">
        <v>65</v>
      </c>
      <c r="D372" s="11">
        <f>'Raw Data'!I22</f>
        <v>59102</v>
      </c>
    </row>
    <row r="373" ht="15.75" customHeight="1">
      <c r="A373" s="9" t="s">
        <v>33</v>
      </c>
      <c r="B373" s="10" t="s">
        <v>69</v>
      </c>
      <c r="C373" s="9" t="s">
        <v>66</v>
      </c>
      <c r="D373" s="11">
        <f>IF('Raw Data'!H22&gt;0, 'Raw Data'!I22/'Raw Data'!H22, 0)</f>
        <v>1.496177409</v>
      </c>
    </row>
    <row r="374" ht="15.75" customHeight="1">
      <c r="A374" s="9" t="s">
        <v>33</v>
      </c>
      <c r="B374" s="10" t="s">
        <v>70</v>
      </c>
      <c r="C374" s="9" t="s">
        <v>64</v>
      </c>
      <c r="D374" s="11">
        <f>'Raw Data'!J22</f>
        <v>45800</v>
      </c>
    </row>
    <row r="375" ht="15.75" customHeight="1">
      <c r="A375" s="12" t="s">
        <v>33</v>
      </c>
      <c r="B375" s="13" t="s">
        <v>70</v>
      </c>
      <c r="C375" s="12" t="s">
        <v>65</v>
      </c>
      <c r="D375" s="14">
        <f>'Raw Data'!K22</f>
        <v>74318</v>
      </c>
    </row>
    <row r="376" ht="15.75" customHeight="1">
      <c r="A376" s="12" t="s">
        <v>33</v>
      </c>
      <c r="B376" s="13" t="s">
        <v>70</v>
      </c>
      <c r="C376" s="12" t="s">
        <v>66</v>
      </c>
      <c r="D376" s="14">
        <f>IF('Raw Data'!J22&gt;0, 'Raw Data'!K22/'Raw Data'!J22, 0)</f>
        <v>1.622663755</v>
      </c>
    </row>
    <row r="377" ht="15.75" customHeight="1">
      <c r="A377" s="12" t="s">
        <v>33</v>
      </c>
      <c r="B377" s="16">
        <v>2024.0</v>
      </c>
      <c r="C377" s="12" t="s">
        <v>64</v>
      </c>
      <c r="D377" s="14">
        <f>'Raw Data'!L22</f>
        <v>23154</v>
      </c>
    </row>
    <row r="378" ht="15.75" customHeight="1">
      <c r="A378" s="9" t="s">
        <v>33</v>
      </c>
      <c r="B378" s="17">
        <v>2024.0</v>
      </c>
      <c r="C378" s="9" t="s">
        <v>65</v>
      </c>
      <c r="D378" s="11">
        <f>'Raw Data'!M22</f>
        <v>48436</v>
      </c>
    </row>
    <row r="379" ht="15.75" customHeight="1">
      <c r="A379" s="9" t="s">
        <v>33</v>
      </c>
      <c r="B379" s="17">
        <v>2024.0</v>
      </c>
      <c r="C379" s="9" t="s">
        <v>66</v>
      </c>
      <c r="D379" s="11">
        <f>IF('Raw Data'!L22&gt;0, 'Raw Data'!M22/'Raw Data'!L22, 0)</f>
        <v>2.091906366</v>
      </c>
    </row>
    <row r="380" ht="15.75" customHeight="1">
      <c r="A380" s="9" t="s">
        <v>34</v>
      </c>
      <c r="B380" s="10" t="s">
        <v>63</v>
      </c>
      <c r="C380" s="9" t="s">
        <v>64</v>
      </c>
      <c r="D380" s="11">
        <f>'Raw Data'!B23</f>
        <v>125358</v>
      </c>
    </row>
    <row r="381" ht="15.75" customHeight="1">
      <c r="A381" s="12" t="s">
        <v>34</v>
      </c>
      <c r="B381" s="13" t="s">
        <v>63</v>
      </c>
      <c r="C381" s="12" t="s">
        <v>65</v>
      </c>
      <c r="D381" s="14">
        <f>'Raw Data'!C23</f>
        <v>92034</v>
      </c>
    </row>
    <row r="382" ht="15.75" customHeight="1">
      <c r="A382" s="12" t="s">
        <v>34</v>
      </c>
      <c r="B382" s="13" t="s">
        <v>63</v>
      </c>
      <c r="C382" s="12" t="s">
        <v>66</v>
      </c>
      <c r="D382" s="14">
        <f>IF('Raw Data'!B23&gt;0, 'Raw Data'!C23/'Raw Data'!B23, 0)</f>
        <v>0.734169339</v>
      </c>
    </row>
    <row r="383" ht="15.75" customHeight="1">
      <c r="A383" s="12" t="s">
        <v>34</v>
      </c>
      <c r="B383" s="13" t="s">
        <v>67</v>
      </c>
      <c r="C383" s="12" t="s">
        <v>64</v>
      </c>
      <c r="D383" s="14">
        <f>'Raw Data'!D23</f>
        <v>133795</v>
      </c>
    </row>
    <row r="384" ht="15.75" customHeight="1">
      <c r="A384" s="9" t="s">
        <v>34</v>
      </c>
      <c r="B384" s="10" t="s">
        <v>67</v>
      </c>
      <c r="C384" s="9" t="s">
        <v>65</v>
      </c>
      <c r="D384" s="11">
        <f>'Raw Data'!E23</f>
        <v>40927</v>
      </c>
    </row>
    <row r="385" ht="15.75" customHeight="1">
      <c r="A385" s="9" t="s">
        <v>34</v>
      </c>
      <c r="B385" s="10" t="s">
        <v>67</v>
      </c>
      <c r="C385" s="9" t="s">
        <v>66</v>
      </c>
      <c r="D385" s="11">
        <f>IF('Raw Data'!D23&gt;0, 'Raw Data'!E23/'Raw Data'!D23, 0)</f>
        <v>0.3058933443</v>
      </c>
    </row>
    <row r="386" ht="15.75" customHeight="1">
      <c r="A386" s="9" t="s">
        <v>34</v>
      </c>
      <c r="B386" s="10" t="s">
        <v>68</v>
      </c>
      <c r="C386" s="9" t="s">
        <v>64</v>
      </c>
      <c r="D386" s="11">
        <f>'Raw Data'!F23</f>
        <v>144201</v>
      </c>
    </row>
    <row r="387" ht="15.75" customHeight="1">
      <c r="A387" s="12" t="s">
        <v>34</v>
      </c>
      <c r="B387" s="13" t="s">
        <v>68</v>
      </c>
      <c r="C387" s="12" t="s">
        <v>65</v>
      </c>
      <c r="D387" s="14">
        <f>'Raw Data'!G23</f>
        <v>59321</v>
      </c>
    </row>
    <row r="388" ht="15.75" customHeight="1">
      <c r="A388" s="12" t="s">
        <v>34</v>
      </c>
      <c r="B388" s="13" t="s">
        <v>68</v>
      </c>
      <c r="C388" s="12" t="s">
        <v>66</v>
      </c>
      <c r="D388" s="14">
        <f>IF('Raw Data'!F23&gt;0, 'Raw Data'!G23/'Raw Data'!F23, 0)</f>
        <v>0.4113771749</v>
      </c>
    </row>
    <row r="389" ht="15.75" customHeight="1">
      <c r="A389" s="12" t="s">
        <v>34</v>
      </c>
      <c r="B389" s="13" t="s">
        <v>69</v>
      </c>
      <c r="C389" s="12" t="s">
        <v>64</v>
      </c>
      <c r="D389" s="14">
        <f>'Raw Data'!H23</f>
        <v>134048</v>
      </c>
    </row>
    <row r="390" ht="15.75" customHeight="1">
      <c r="A390" s="9" t="s">
        <v>34</v>
      </c>
      <c r="B390" s="10" t="s">
        <v>69</v>
      </c>
      <c r="C390" s="9" t="s">
        <v>65</v>
      </c>
      <c r="D390" s="11">
        <f>'Raw Data'!I23</f>
        <v>22597</v>
      </c>
    </row>
    <row r="391" ht="15.75" customHeight="1">
      <c r="A391" s="9" t="s">
        <v>34</v>
      </c>
      <c r="B391" s="10" t="s">
        <v>69</v>
      </c>
      <c r="C391" s="9" t="s">
        <v>66</v>
      </c>
      <c r="D391" s="11">
        <f>IF('Raw Data'!H23&gt;0, 'Raw Data'!I23/'Raw Data'!H23, 0)</f>
        <v>0.1685739437</v>
      </c>
    </row>
    <row r="392" ht="15.75" customHeight="1">
      <c r="A392" s="9" t="s">
        <v>34</v>
      </c>
      <c r="B392" s="10" t="s">
        <v>70</v>
      </c>
      <c r="C392" s="9" t="s">
        <v>64</v>
      </c>
      <c r="D392" s="11">
        <f>'Raw Data'!J23</f>
        <v>138830</v>
      </c>
    </row>
    <row r="393" ht="15.75" customHeight="1">
      <c r="A393" s="12" t="s">
        <v>34</v>
      </c>
      <c r="B393" s="13" t="s">
        <v>70</v>
      </c>
      <c r="C393" s="12" t="s">
        <v>65</v>
      </c>
      <c r="D393" s="14">
        <f>'Raw Data'!K23</f>
        <v>175493</v>
      </c>
    </row>
    <row r="394" ht="15.75" customHeight="1">
      <c r="A394" s="12" t="s">
        <v>34</v>
      </c>
      <c r="B394" s="13" t="s">
        <v>70</v>
      </c>
      <c r="C394" s="12" t="s">
        <v>66</v>
      </c>
      <c r="D394" s="14">
        <f>IF('Raw Data'!J23&gt;0, 'Raw Data'!K23/'Raw Data'!J23, 0)</f>
        <v>1.264085572</v>
      </c>
    </row>
    <row r="395" ht="15.75" customHeight="1">
      <c r="A395" s="12" t="s">
        <v>34</v>
      </c>
      <c r="B395" s="16">
        <v>2024.0</v>
      </c>
      <c r="C395" s="12" t="s">
        <v>64</v>
      </c>
      <c r="D395" s="14">
        <f>'Raw Data'!L23</f>
        <v>158761</v>
      </c>
    </row>
    <row r="396" ht="15.75" customHeight="1">
      <c r="A396" s="9" t="s">
        <v>34</v>
      </c>
      <c r="B396" s="17">
        <v>2024.0</v>
      </c>
      <c r="C396" s="9" t="s">
        <v>65</v>
      </c>
      <c r="D396" s="11">
        <f>'Raw Data'!M23</f>
        <v>91910</v>
      </c>
    </row>
    <row r="397" ht="15.75" customHeight="1">
      <c r="A397" s="9" t="s">
        <v>34</v>
      </c>
      <c r="B397" s="17">
        <v>2024.0</v>
      </c>
      <c r="C397" s="9" t="s">
        <v>66</v>
      </c>
      <c r="D397" s="11">
        <f>IF('Raw Data'!L23&gt;0, 'Raw Data'!M23/'Raw Data'!L23, 0)</f>
        <v>0.5789205157</v>
      </c>
    </row>
    <row r="398" ht="15.75" customHeight="1">
      <c r="A398" s="9" t="s">
        <v>35</v>
      </c>
      <c r="B398" s="10" t="s">
        <v>63</v>
      </c>
      <c r="C398" s="9" t="s">
        <v>64</v>
      </c>
      <c r="D398" s="11">
        <f>'Raw Data'!B24</f>
        <v>139024</v>
      </c>
    </row>
    <row r="399" ht="15.75" customHeight="1">
      <c r="A399" s="12" t="s">
        <v>35</v>
      </c>
      <c r="B399" s="13" t="s">
        <v>63</v>
      </c>
      <c r="C399" s="12" t="s">
        <v>65</v>
      </c>
      <c r="D399" s="14">
        <f>'Raw Data'!C24</f>
        <v>109434</v>
      </c>
    </row>
    <row r="400" ht="15.75" customHeight="1">
      <c r="A400" s="12" t="s">
        <v>35</v>
      </c>
      <c r="B400" s="13" t="s">
        <v>63</v>
      </c>
      <c r="C400" s="12" t="s">
        <v>66</v>
      </c>
      <c r="D400" s="14">
        <f>IF('Raw Data'!B24&gt;0, 'Raw Data'!C24/'Raw Data'!B24, 0)</f>
        <v>0.7871590517</v>
      </c>
    </row>
    <row r="401" ht="15.75" customHeight="1">
      <c r="A401" s="12" t="s">
        <v>35</v>
      </c>
      <c r="B401" s="13" t="s">
        <v>67</v>
      </c>
      <c r="C401" s="12" t="s">
        <v>64</v>
      </c>
      <c r="D401" s="14">
        <f>'Raw Data'!D24</f>
        <v>146562</v>
      </c>
    </row>
    <row r="402" ht="15.75" customHeight="1">
      <c r="A402" s="9" t="s">
        <v>35</v>
      </c>
      <c r="B402" s="10" t="s">
        <v>67</v>
      </c>
      <c r="C402" s="9" t="s">
        <v>65</v>
      </c>
      <c r="D402" s="11">
        <f>'Raw Data'!E24</f>
        <v>120000</v>
      </c>
    </row>
    <row r="403" ht="15.75" customHeight="1">
      <c r="A403" s="9" t="s">
        <v>35</v>
      </c>
      <c r="B403" s="10" t="s">
        <v>67</v>
      </c>
      <c r="C403" s="9" t="s">
        <v>66</v>
      </c>
      <c r="D403" s="11">
        <f>IF('Raw Data'!D24&gt;0, 'Raw Data'!E24/'Raw Data'!D24, 0)</f>
        <v>0.8187661195</v>
      </c>
    </row>
    <row r="404" ht="15.75" customHeight="1">
      <c r="A404" s="9" t="s">
        <v>35</v>
      </c>
      <c r="B404" s="10" t="s">
        <v>68</v>
      </c>
      <c r="C404" s="9" t="s">
        <v>64</v>
      </c>
      <c r="D404" s="11">
        <f>'Raw Data'!F24</f>
        <v>150726</v>
      </c>
    </row>
    <row r="405" ht="15.75" customHeight="1">
      <c r="A405" s="12" t="s">
        <v>35</v>
      </c>
      <c r="B405" s="13" t="s">
        <v>68</v>
      </c>
      <c r="C405" s="12" t="s">
        <v>65</v>
      </c>
      <c r="D405" s="14">
        <f>'Raw Data'!G24</f>
        <v>88013</v>
      </c>
    </row>
    <row r="406" ht="15.75" customHeight="1">
      <c r="A406" s="12" t="s">
        <v>35</v>
      </c>
      <c r="B406" s="13" t="s">
        <v>68</v>
      </c>
      <c r="C406" s="12" t="s">
        <v>66</v>
      </c>
      <c r="D406" s="14">
        <f>IF('Raw Data'!F24&gt;0, 'Raw Data'!G24/'Raw Data'!F24, 0)</f>
        <v>0.583927126</v>
      </c>
    </row>
    <row r="407" ht="15.75" customHeight="1">
      <c r="A407" s="12" t="s">
        <v>35</v>
      </c>
      <c r="B407" s="13" t="s">
        <v>69</v>
      </c>
      <c r="C407" s="12" t="s">
        <v>64</v>
      </c>
      <c r="D407" s="14">
        <f>'Raw Data'!H24</f>
        <v>132910</v>
      </c>
    </row>
    <row r="408" ht="15.75" customHeight="1">
      <c r="A408" s="9" t="s">
        <v>35</v>
      </c>
      <c r="B408" s="10" t="s">
        <v>69</v>
      </c>
      <c r="C408" s="9" t="s">
        <v>65</v>
      </c>
      <c r="D408" s="11">
        <f>'Raw Data'!I24</f>
        <v>83018</v>
      </c>
    </row>
    <row r="409" ht="15.75" customHeight="1">
      <c r="A409" s="9" t="s">
        <v>35</v>
      </c>
      <c r="B409" s="10" t="s">
        <v>69</v>
      </c>
      <c r="C409" s="9" t="s">
        <v>66</v>
      </c>
      <c r="D409" s="11">
        <f>IF('Raw Data'!H24&gt;0, 'Raw Data'!I24/'Raw Data'!H24, 0)</f>
        <v>0.6246181627</v>
      </c>
    </row>
    <row r="410" ht="15.75" customHeight="1">
      <c r="A410" s="9" t="s">
        <v>35</v>
      </c>
      <c r="B410" s="10" t="s">
        <v>70</v>
      </c>
      <c r="C410" s="9" t="s">
        <v>64</v>
      </c>
      <c r="D410" s="11">
        <f>'Raw Data'!J24</f>
        <v>136912</v>
      </c>
    </row>
    <row r="411" ht="15.75" customHeight="1">
      <c r="A411" s="12" t="s">
        <v>35</v>
      </c>
      <c r="B411" s="13" t="s">
        <v>70</v>
      </c>
      <c r="C411" s="12" t="s">
        <v>65</v>
      </c>
      <c r="D411" s="14">
        <f>'Raw Data'!K24</f>
        <v>81363</v>
      </c>
    </row>
    <row r="412" ht="15.75" customHeight="1">
      <c r="A412" s="12" t="s">
        <v>35</v>
      </c>
      <c r="B412" s="13" t="s">
        <v>70</v>
      </c>
      <c r="C412" s="12" t="s">
        <v>66</v>
      </c>
      <c r="D412" s="14">
        <f>IF('Raw Data'!J24&gt;0, 'Raw Data'!K24/'Raw Data'!J24, 0)</f>
        <v>0.5942722333</v>
      </c>
    </row>
    <row r="413" ht="15.75" customHeight="1">
      <c r="A413" s="12" t="s">
        <v>35</v>
      </c>
      <c r="B413" s="16">
        <v>2024.0</v>
      </c>
      <c r="C413" s="12" t="s">
        <v>64</v>
      </c>
      <c r="D413" s="14">
        <f>'Raw Data'!L24</f>
        <v>155337</v>
      </c>
    </row>
    <row r="414" ht="15.75" customHeight="1">
      <c r="A414" s="9" t="s">
        <v>35</v>
      </c>
      <c r="B414" s="17">
        <v>2024.0</v>
      </c>
      <c r="C414" s="9" t="s">
        <v>65</v>
      </c>
      <c r="D414" s="11">
        <f>'Raw Data'!M24</f>
        <v>83506</v>
      </c>
    </row>
    <row r="415" ht="15.75" customHeight="1">
      <c r="A415" s="9" t="s">
        <v>35</v>
      </c>
      <c r="B415" s="17">
        <v>2024.0</v>
      </c>
      <c r="C415" s="9" t="s">
        <v>66</v>
      </c>
      <c r="D415" s="11">
        <f>IF('Raw Data'!L24&gt;0, 'Raw Data'!M24/'Raw Data'!L24, 0)</f>
        <v>0.537579585</v>
      </c>
    </row>
    <row r="416" ht="15.75" customHeight="1">
      <c r="A416" s="9" t="s">
        <v>36</v>
      </c>
      <c r="B416" s="10" t="s">
        <v>63</v>
      </c>
      <c r="C416" s="9" t="s">
        <v>64</v>
      </c>
      <c r="D416" s="11">
        <f>'Raw Data'!B25</f>
        <v>3071</v>
      </c>
    </row>
    <row r="417" ht="15.75" customHeight="1">
      <c r="A417" s="12" t="s">
        <v>36</v>
      </c>
      <c r="B417" s="13" t="s">
        <v>63</v>
      </c>
      <c r="C417" s="12" t="s">
        <v>65</v>
      </c>
      <c r="D417" s="14">
        <f>'Raw Data'!C25</f>
        <v>964</v>
      </c>
    </row>
    <row r="418" ht="15.75" customHeight="1">
      <c r="A418" s="12" t="s">
        <v>36</v>
      </c>
      <c r="B418" s="13" t="s">
        <v>63</v>
      </c>
      <c r="C418" s="12" t="s">
        <v>66</v>
      </c>
      <c r="D418" s="14">
        <f>IF('Raw Data'!B25&gt;0, 'Raw Data'!C25/'Raw Data'!B25, 0)</f>
        <v>0.3139042657</v>
      </c>
    </row>
    <row r="419" ht="15.75" customHeight="1">
      <c r="A419" s="12" t="s">
        <v>36</v>
      </c>
      <c r="B419" s="13" t="s">
        <v>67</v>
      </c>
      <c r="C419" s="12" t="s">
        <v>64</v>
      </c>
      <c r="D419" s="14">
        <f>'Raw Data'!D25</f>
        <v>3708</v>
      </c>
    </row>
    <row r="420" ht="15.75" customHeight="1">
      <c r="A420" s="9" t="s">
        <v>36</v>
      </c>
      <c r="B420" s="10" t="s">
        <v>67</v>
      </c>
      <c r="C420" s="9" t="s">
        <v>65</v>
      </c>
      <c r="D420" s="11">
        <f>'Raw Data'!E25</f>
        <v>1847</v>
      </c>
    </row>
    <row r="421" ht="15.75" customHeight="1">
      <c r="A421" s="9" t="s">
        <v>36</v>
      </c>
      <c r="B421" s="10" t="s">
        <v>67</v>
      </c>
      <c r="C421" s="9" t="s">
        <v>66</v>
      </c>
      <c r="D421" s="11">
        <f>IF('Raw Data'!D25&gt;0, 'Raw Data'!E25/'Raw Data'!D25, 0)</f>
        <v>0.4981121899</v>
      </c>
    </row>
    <row r="422" ht="15.75" customHeight="1">
      <c r="A422" s="9" t="s">
        <v>36</v>
      </c>
      <c r="B422" s="10" t="s">
        <v>68</v>
      </c>
      <c r="C422" s="9" t="s">
        <v>64</v>
      </c>
      <c r="D422" s="11">
        <f>'Raw Data'!F25</f>
        <v>3510</v>
      </c>
    </row>
    <row r="423" ht="15.75" customHeight="1">
      <c r="A423" s="12" t="s">
        <v>36</v>
      </c>
      <c r="B423" s="13" t="s">
        <v>68</v>
      </c>
      <c r="C423" s="12" t="s">
        <v>65</v>
      </c>
      <c r="D423" s="14">
        <f>'Raw Data'!G25</f>
        <v>1818</v>
      </c>
    </row>
    <row r="424" ht="15.75" customHeight="1">
      <c r="A424" s="12" t="s">
        <v>36</v>
      </c>
      <c r="B424" s="13" t="s">
        <v>68</v>
      </c>
      <c r="C424" s="12" t="s">
        <v>66</v>
      </c>
      <c r="D424" s="14">
        <f>IF('Raw Data'!F25&gt;0, 'Raw Data'!G25/'Raw Data'!F25, 0)</f>
        <v>0.5179487179</v>
      </c>
    </row>
    <row r="425" ht="15.75" customHeight="1">
      <c r="A425" s="12" t="s">
        <v>36</v>
      </c>
      <c r="B425" s="13" t="s">
        <v>69</v>
      </c>
      <c r="C425" s="12" t="s">
        <v>64</v>
      </c>
      <c r="D425" s="14">
        <f>'Raw Data'!H25</f>
        <v>3209</v>
      </c>
    </row>
    <row r="426" ht="15.75" customHeight="1">
      <c r="A426" s="9" t="s">
        <v>36</v>
      </c>
      <c r="B426" s="10" t="s">
        <v>69</v>
      </c>
      <c r="C426" s="9" t="s">
        <v>65</v>
      </c>
      <c r="D426" s="11">
        <f>'Raw Data'!I25</f>
        <v>2160</v>
      </c>
    </row>
    <row r="427" ht="15.75" customHeight="1">
      <c r="A427" s="9" t="s">
        <v>36</v>
      </c>
      <c r="B427" s="10" t="s">
        <v>69</v>
      </c>
      <c r="C427" s="9" t="s">
        <v>66</v>
      </c>
      <c r="D427" s="11">
        <f>IF('Raw Data'!H25&gt;0, 'Raw Data'!I25/'Raw Data'!H25, 0)</f>
        <v>0.6731068869</v>
      </c>
    </row>
    <row r="428" ht="15.75" customHeight="1">
      <c r="A428" s="9" t="s">
        <v>36</v>
      </c>
      <c r="B428" s="10" t="s">
        <v>70</v>
      </c>
      <c r="C428" s="9" t="s">
        <v>64</v>
      </c>
      <c r="D428" s="11">
        <f>'Raw Data'!J25</f>
        <v>3209</v>
      </c>
    </row>
    <row r="429" ht="15.75" customHeight="1">
      <c r="A429" s="12" t="s">
        <v>36</v>
      </c>
      <c r="B429" s="13" t="s">
        <v>70</v>
      </c>
      <c r="C429" s="12" t="s">
        <v>65</v>
      </c>
      <c r="D429" s="14">
        <f>'Raw Data'!K25</f>
        <v>2738</v>
      </c>
    </row>
    <row r="430" ht="15.75" customHeight="1">
      <c r="A430" s="12" t="s">
        <v>36</v>
      </c>
      <c r="B430" s="13" t="s">
        <v>70</v>
      </c>
      <c r="C430" s="12" t="s">
        <v>66</v>
      </c>
      <c r="D430" s="14">
        <f>IF('Raw Data'!J25&gt;0, 'Raw Data'!K25/'Raw Data'!J25, 0)</f>
        <v>0.8532253038</v>
      </c>
    </row>
    <row r="431" ht="15.75" customHeight="1">
      <c r="A431" s="12" t="s">
        <v>36</v>
      </c>
      <c r="B431" s="16">
        <v>2024.0</v>
      </c>
      <c r="C431" s="12" t="s">
        <v>64</v>
      </c>
      <c r="D431" s="14">
        <f>'Raw Data'!L25</f>
        <v>2828</v>
      </c>
    </row>
    <row r="432" ht="15.75" customHeight="1">
      <c r="A432" s="9" t="s">
        <v>36</v>
      </c>
      <c r="B432" s="17">
        <v>2024.0</v>
      </c>
      <c r="C432" s="9" t="s">
        <v>65</v>
      </c>
      <c r="D432" s="11">
        <f>'Raw Data'!M25</f>
        <v>3113</v>
      </c>
    </row>
    <row r="433" ht="15.75" customHeight="1">
      <c r="A433" s="9" t="s">
        <v>36</v>
      </c>
      <c r="B433" s="17">
        <v>2024.0</v>
      </c>
      <c r="C433" s="9" t="s">
        <v>66</v>
      </c>
      <c r="D433" s="11">
        <f>IF('Raw Data'!L25&gt;0, 'Raw Data'!M25/'Raw Data'!L25, 0)</f>
        <v>1.100777935</v>
      </c>
    </row>
    <row r="434" ht="15.75" customHeight="1">
      <c r="A434" s="9" t="s">
        <v>37</v>
      </c>
      <c r="B434" s="10" t="s">
        <v>63</v>
      </c>
      <c r="C434" s="9" t="s">
        <v>64</v>
      </c>
      <c r="D434" s="11">
        <f>'Raw Data'!B26</f>
        <v>998</v>
      </c>
    </row>
    <row r="435" ht="15.75" customHeight="1">
      <c r="A435" s="12" t="s">
        <v>37</v>
      </c>
      <c r="B435" s="13" t="s">
        <v>63</v>
      </c>
      <c r="C435" s="12" t="s">
        <v>65</v>
      </c>
      <c r="D435" s="14">
        <f>'Raw Data'!C26</f>
        <v>402</v>
      </c>
    </row>
    <row r="436" ht="15.75" customHeight="1">
      <c r="A436" s="12" t="s">
        <v>37</v>
      </c>
      <c r="B436" s="13" t="s">
        <v>63</v>
      </c>
      <c r="C436" s="12" t="s">
        <v>66</v>
      </c>
      <c r="D436" s="14">
        <f>IF('Raw Data'!B26&gt;0, 'Raw Data'!C26/'Raw Data'!B26, 0)</f>
        <v>0.4028056112</v>
      </c>
    </row>
    <row r="437" ht="15.75" customHeight="1">
      <c r="A437" s="12" t="s">
        <v>37</v>
      </c>
      <c r="B437" s="13" t="s">
        <v>67</v>
      </c>
      <c r="C437" s="12" t="s">
        <v>64</v>
      </c>
      <c r="D437" s="14">
        <f>'Raw Data'!D26</f>
        <v>1023</v>
      </c>
    </row>
    <row r="438" ht="15.75" customHeight="1">
      <c r="A438" s="9" t="s">
        <v>37</v>
      </c>
      <c r="B438" s="10" t="s">
        <v>67</v>
      </c>
      <c r="C438" s="9" t="s">
        <v>65</v>
      </c>
      <c r="D438" s="11">
        <f>'Raw Data'!E26</f>
        <v>293</v>
      </c>
    </row>
    <row r="439" ht="15.75" customHeight="1">
      <c r="A439" s="9" t="s">
        <v>37</v>
      </c>
      <c r="B439" s="10" t="s">
        <v>67</v>
      </c>
      <c r="C439" s="9" t="s">
        <v>66</v>
      </c>
      <c r="D439" s="11">
        <f>IF('Raw Data'!D26&gt;0, 'Raw Data'!E26/'Raw Data'!D26, 0)</f>
        <v>0.2864125122</v>
      </c>
    </row>
    <row r="440" ht="15.75" customHeight="1">
      <c r="A440" s="9" t="s">
        <v>37</v>
      </c>
      <c r="B440" s="10" t="s">
        <v>68</v>
      </c>
      <c r="C440" s="9" t="s">
        <v>64</v>
      </c>
      <c r="D440" s="11">
        <f>'Raw Data'!F26</f>
        <v>658</v>
      </c>
    </row>
    <row r="441" ht="15.75" customHeight="1">
      <c r="A441" s="12" t="s">
        <v>37</v>
      </c>
      <c r="B441" s="13" t="s">
        <v>68</v>
      </c>
      <c r="C441" s="12" t="s">
        <v>65</v>
      </c>
      <c r="D441" s="14">
        <f>'Raw Data'!G26</f>
        <v>46</v>
      </c>
    </row>
    <row r="442" ht="15.75" customHeight="1">
      <c r="A442" s="12" t="s">
        <v>37</v>
      </c>
      <c r="B442" s="13" t="s">
        <v>68</v>
      </c>
      <c r="C442" s="12" t="s">
        <v>66</v>
      </c>
      <c r="D442" s="14">
        <f>IF('Raw Data'!F26&gt;0, 'Raw Data'!G26/'Raw Data'!F26, 0)</f>
        <v>0.06990881459</v>
      </c>
    </row>
    <row r="443" ht="15.75" customHeight="1">
      <c r="A443" s="12" t="s">
        <v>37</v>
      </c>
      <c r="B443" s="13" t="s">
        <v>69</v>
      </c>
      <c r="C443" s="12" t="s">
        <v>64</v>
      </c>
      <c r="D443" s="14">
        <f>'Raw Data'!H26</f>
        <v>591</v>
      </c>
    </row>
    <row r="444" ht="15.75" customHeight="1">
      <c r="A444" s="9" t="s">
        <v>37</v>
      </c>
      <c r="B444" s="10" t="s">
        <v>69</v>
      </c>
      <c r="C444" s="9" t="s">
        <v>65</v>
      </c>
      <c r="D444" s="11">
        <f>'Raw Data'!I26</f>
        <v>3</v>
      </c>
    </row>
    <row r="445" ht="15.75" customHeight="1">
      <c r="A445" s="9" t="s">
        <v>37</v>
      </c>
      <c r="B445" s="10" t="s">
        <v>69</v>
      </c>
      <c r="C445" s="9" t="s">
        <v>66</v>
      </c>
      <c r="D445" s="11">
        <f>IF('Raw Data'!H26&gt;0, 'Raw Data'!I26/'Raw Data'!H26, 0)</f>
        <v>0.005076142132</v>
      </c>
    </row>
    <row r="446" ht="15.75" customHeight="1">
      <c r="A446" s="9" t="s">
        <v>37</v>
      </c>
      <c r="B446" s="10" t="s">
        <v>70</v>
      </c>
      <c r="C446" s="9" t="s">
        <v>64</v>
      </c>
      <c r="D446" s="11">
        <f>'Raw Data'!J26</f>
        <v>2184</v>
      </c>
    </row>
    <row r="447" ht="15.75" customHeight="1">
      <c r="A447" s="12" t="s">
        <v>37</v>
      </c>
      <c r="B447" s="13" t="s">
        <v>70</v>
      </c>
      <c r="C447" s="12" t="s">
        <v>65</v>
      </c>
      <c r="D447" s="14">
        <f>'Raw Data'!K26</f>
        <v>337</v>
      </c>
    </row>
    <row r="448" ht="15.75" customHeight="1">
      <c r="A448" s="12" t="s">
        <v>37</v>
      </c>
      <c r="B448" s="13" t="s">
        <v>70</v>
      </c>
      <c r="C448" s="12" t="s">
        <v>66</v>
      </c>
      <c r="D448" s="14">
        <f>IF('Raw Data'!J26&gt;0, 'Raw Data'!K26/'Raw Data'!J26, 0)</f>
        <v>0.1543040293</v>
      </c>
    </row>
    <row r="449" ht="15.75" customHeight="1">
      <c r="A449" s="12" t="s">
        <v>37</v>
      </c>
      <c r="B449" s="16">
        <v>2024.0</v>
      </c>
      <c r="C449" s="12" t="s">
        <v>64</v>
      </c>
      <c r="D449" s="14">
        <f>'Raw Data'!L26</f>
        <v>1830</v>
      </c>
    </row>
    <row r="450" ht="15.75" customHeight="1">
      <c r="A450" s="9" t="s">
        <v>37</v>
      </c>
      <c r="B450" s="17">
        <v>2024.0</v>
      </c>
      <c r="C450" s="9" t="s">
        <v>65</v>
      </c>
      <c r="D450" s="11">
        <f>'Raw Data'!M26</f>
        <v>1089</v>
      </c>
    </row>
    <row r="451" ht="15.75" customHeight="1">
      <c r="A451" s="9" t="s">
        <v>37</v>
      </c>
      <c r="B451" s="17">
        <v>2024.0</v>
      </c>
      <c r="C451" s="9" t="s">
        <v>66</v>
      </c>
      <c r="D451" s="11">
        <f>IF('Raw Data'!L26&gt;0, 'Raw Data'!M26/'Raw Data'!L26, 0)</f>
        <v>0.5950819672</v>
      </c>
    </row>
    <row r="452" ht="15.75" customHeight="1">
      <c r="A452" s="9" t="s">
        <v>38</v>
      </c>
      <c r="B452" s="10" t="s">
        <v>63</v>
      </c>
      <c r="C452" s="9" t="s">
        <v>64</v>
      </c>
      <c r="D452" s="11">
        <f>'Raw Data'!B27</f>
        <v>74577</v>
      </c>
    </row>
    <row r="453" ht="15.75" customHeight="1">
      <c r="A453" s="12" t="s">
        <v>38</v>
      </c>
      <c r="B453" s="13" t="s">
        <v>63</v>
      </c>
      <c r="C453" s="12" t="s">
        <v>65</v>
      </c>
      <c r="D453" s="14">
        <f>'Raw Data'!C27</f>
        <v>96249</v>
      </c>
    </row>
    <row r="454" ht="15.75" customHeight="1">
      <c r="A454" s="12" t="s">
        <v>38</v>
      </c>
      <c r="B454" s="13" t="s">
        <v>63</v>
      </c>
      <c r="C454" s="12" t="s">
        <v>66</v>
      </c>
      <c r="D454" s="14">
        <f>IF('Raw Data'!B27&gt;0, 'Raw Data'!C27/'Raw Data'!B27, 0)</f>
        <v>1.290598978</v>
      </c>
    </row>
    <row r="455" ht="15.75" customHeight="1">
      <c r="A455" s="12" t="s">
        <v>38</v>
      </c>
      <c r="B455" s="13" t="s">
        <v>67</v>
      </c>
      <c r="C455" s="12" t="s">
        <v>64</v>
      </c>
      <c r="D455" s="14">
        <f>'Raw Data'!D27</f>
        <v>67416</v>
      </c>
    </row>
    <row r="456" ht="15.75" customHeight="1">
      <c r="A456" s="9" t="s">
        <v>38</v>
      </c>
      <c r="B456" s="10" t="s">
        <v>67</v>
      </c>
      <c r="C456" s="9" t="s">
        <v>65</v>
      </c>
      <c r="D456" s="11">
        <f>'Raw Data'!E27</f>
        <v>74757</v>
      </c>
    </row>
    <row r="457" ht="15.75" customHeight="1">
      <c r="A457" s="9" t="s">
        <v>38</v>
      </c>
      <c r="B457" s="10" t="s">
        <v>67</v>
      </c>
      <c r="C457" s="9" t="s">
        <v>66</v>
      </c>
      <c r="D457" s="11">
        <f>IF('Raw Data'!D27&gt;0, 'Raw Data'!E27/'Raw Data'!D27, 0)</f>
        <v>1.108891064</v>
      </c>
    </row>
    <row r="458" ht="15.75" customHeight="1">
      <c r="A458" s="9" t="s">
        <v>38</v>
      </c>
      <c r="B458" s="10" t="s">
        <v>68</v>
      </c>
      <c r="C458" s="9" t="s">
        <v>64</v>
      </c>
      <c r="D458" s="11">
        <f>'Raw Data'!F27</f>
        <v>75058</v>
      </c>
    </row>
    <row r="459" ht="15.75" customHeight="1">
      <c r="A459" s="12" t="s">
        <v>38</v>
      </c>
      <c r="B459" s="13" t="s">
        <v>68</v>
      </c>
      <c r="C459" s="12" t="s">
        <v>65</v>
      </c>
      <c r="D459" s="14">
        <f>'Raw Data'!G27</f>
        <v>53331</v>
      </c>
    </row>
    <row r="460" ht="15.75" customHeight="1">
      <c r="A460" s="12" t="s">
        <v>38</v>
      </c>
      <c r="B460" s="13" t="s">
        <v>68</v>
      </c>
      <c r="C460" s="12" t="s">
        <v>66</v>
      </c>
      <c r="D460" s="14">
        <f>IF('Raw Data'!F27&gt;0, 'Raw Data'!G27/'Raw Data'!F27, 0)</f>
        <v>0.7105305231</v>
      </c>
    </row>
    <row r="461" ht="15.75" customHeight="1">
      <c r="A461" s="12" t="s">
        <v>38</v>
      </c>
      <c r="B461" s="13" t="s">
        <v>69</v>
      </c>
      <c r="C461" s="12" t="s">
        <v>64</v>
      </c>
      <c r="D461" s="14">
        <f>'Raw Data'!H27</f>
        <v>66338</v>
      </c>
    </row>
    <row r="462" ht="15.75" customHeight="1">
      <c r="A462" s="9" t="s">
        <v>38</v>
      </c>
      <c r="B462" s="10" t="s">
        <v>69</v>
      </c>
      <c r="C462" s="9" t="s">
        <v>65</v>
      </c>
      <c r="D462" s="11">
        <f>'Raw Data'!I27</f>
        <v>63157</v>
      </c>
    </row>
    <row r="463" ht="15.75" customHeight="1">
      <c r="A463" s="9" t="s">
        <v>38</v>
      </c>
      <c r="B463" s="10" t="s">
        <v>69</v>
      </c>
      <c r="C463" s="9" t="s">
        <v>66</v>
      </c>
      <c r="D463" s="11">
        <f>IF('Raw Data'!H27&gt;0, 'Raw Data'!I27/'Raw Data'!H27, 0)</f>
        <v>0.9520485996</v>
      </c>
    </row>
    <row r="464" ht="15.75" customHeight="1">
      <c r="A464" s="9" t="s">
        <v>38</v>
      </c>
      <c r="B464" s="10" t="s">
        <v>70</v>
      </c>
      <c r="C464" s="9" t="s">
        <v>64</v>
      </c>
      <c r="D464" s="11">
        <f>'Raw Data'!J27</f>
        <v>142379</v>
      </c>
    </row>
    <row r="465" ht="15.75" customHeight="1">
      <c r="A465" s="12" t="s">
        <v>38</v>
      </c>
      <c r="B465" s="13" t="s">
        <v>70</v>
      </c>
      <c r="C465" s="12" t="s">
        <v>65</v>
      </c>
      <c r="D465" s="14">
        <f>'Raw Data'!K27</f>
        <v>151039</v>
      </c>
    </row>
    <row r="466" ht="15.75" customHeight="1">
      <c r="A466" s="12" t="s">
        <v>38</v>
      </c>
      <c r="B466" s="13" t="s">
        <v>70</v>
      </c>
      <c r="C466" s="12" t="s">
        <v>66</v>
      </c>
      <c r="D466" s="14">
        <f>IF('Raw Data'!J27&gt;0, 'Raw Data'!K27/'Raw Data'!J27, 0)</f>
        <v>1.060823577</v>
      </c>
    </row>
    <row r="467" ht="15.75" customHeight="1">
      <c r="A467" s="12" t="s">
        <v>38</v>
      </c>
      <c r="B467" s="16">
        <v>2024.0</v>
      </c>
      <c r="C467" s="12" t="s">
        <v>64</v>
      </c>
      <c r="D467" s="14">
        <f>'Raw Data'!L27</f>
        <v>136082</v>
      </c>
    </row>
    <row r="468" ht="15.75" customHeight="1">
      <c r="A468" s="9" t="s">
        <v>38</v>
      </c>
      <c r="B468" s="17">
        <v>2024.0</v>
      </c>
      <c r="C468" s="9" t="s">
        <v>65</v>
      </c>
      <c r="D468" s="11">
        <f>'Raw Data'!M27</f>
        <v>133150</v>
      </c>
    </row>
    <row r="469" ht="15.75" customHeight="1">
      <c r="A469" s="9" t="s">
        <v>38</v>
      </c>
      <c r="B469" s="17">
        <v>2024.0</v>
      </c>
      <c r="C469" s="9" t="s">
        <v>66</v>
      </c>
      <c r="D469" s="11">
        <f>IF('Raw Data'!L27&gt;0, 'Raw Data'!M27/'Raw Data'!L27, 0)</f>
        <v>0.9784541673</v>
      </c>
    </row>
    <row r="470" ht="15.75" customHeight="1">
      <c r="A470" s="9" t="s">
        <v>39</v>
      </c>
      <c r="B470" s="10" t="s">
        <v>63</v>
      </c>
      <c r="C470" s="9" t="s">
        <v>64</v>
      </c>
      <c r="D470" s="11">
        <f>'Raw Data'!B28</f>
        <v>80745</v>
      </c>
    </row>
    <row r="471" ht="15.75" customHeight="1">
      <c r="A471" s="12" t="s">
        <v>39</v>
      </c>
      <c r="B471" s="13" t="s">
        <v>63</v>
      </c>
      <c r="C471" s="12" t="s">
        <v>65</v>
      </c>
      <c r="D471" s="14">
        <f>'Raw Data'!C28</f>
        <v>103965</v>
      </c>
    </row>
    <row r="472" ht="15.75" customHeight="1">
      <c r="A472" s="12" t="s">
        <v>39</v>
      </c>
      <c r="B472" s="13" t="s">
        <v>63</v>
      </c>
      <c r="C472" s="12" t="s">
        <v>66</v>
      </c>
      <c r="D472" s="14">
        <f>IF('Raw Data'!B28&gt;0, 'Raw Data'!C28/'Raw Data'!B28, 0)</f>
        <v>1.287571986</v>
      </c>
    </row>
    <row r="473" ht="15.75" customHeight="1">
      <c r="A473" s="12" t="s">
        <v>39</v>
      </c>
      <c r="B473" s="13" t="s">
        <v>67</v>
      </c>
      <c r="C473" s="12" t="s">
        <v>64</v>
      </c>
      <c r="D473" s="14">
        <f>'Raw Data'!D28</f>
        <v>78222</v>
      </c>
    </row>
    <row r="474" ht="15.75" customHeight="1">
      <c r="A474" s="9" t="s">
        <v>39</v>
      </c>
      <c r="B474" s="10" t="s">
        <v>67</v>
      </c>
      <c r="C474" s="9" t="s">
        <v>65</v>
      </c>
      <c r="D474" s="11">
        <f>'Raw Data'!E28</f>
        <v>95966</v>
      </c>
    </row>
    <row r="475" ht="15.75" customHeight="1">
      <c r="A475" s="9" t="s">
        <v>39</v>
      </c>
      <c r="B475" s="10" t="s">
        <v>67</v>
      </c>
      <c r="C475" s="9" t="s">
        <v>66</v>
      </c>
      <c r="D475" s="11">
        <f>IF('Raw Data'!D28&gt;0, 'Raw Data'!E28/'Raw Data'!D28, 0)</f>
        <v>1.226841554</v>
      </c>
    </row>
    <row r="476" ht="15.75" customHeight="1">
      <c r="A476" s="9" t="s">
        <v>39</v>
      </c>
      <c r="B476" s="10" t="s">
        <v>68</v>
      </c>
      <c r="C476" s="9" t="s">
        <v>64</v>
      </c>
      <c r="D476" s="11">
        <f>'Raw Data'!F28</f>
        <v>95034</v>
      </c>
    </row>
    <row r="477" ht="15.75" customHeight="1">
      <c r="A477" s="12" t="s">
        <v>39</v>
      </c>
      <c r="B477" s="13" t="s">
        <v>68</v>
      </c>
      <c r="C477" s="12" t="s">
        <v>65</v>
      </c>
      <c r="D477" s="14">
        <f>'Raw Data'!G28</f>
        <v>99598</v>
      </c>
    </row>
    <row r="478" ht="15.75" customHeight="1">
      <c r="A478" s="12" t="s">
        <v>39</v>
      </c>
      <c r="B478" s="13" t="s">
        <v>68</v>
      </c>
      <c r="C478" s="12" t="s">
        <v>66</v>
      </c>
      <c r="D478" s="14">
        <f>IF('Raw Data'!F28&gt;0, 'Raw Data'!G28/'Raw Data'!F28, 0)</f>
        <v>1.048024917</v>
      </c>
    </row>
    <row r="479" ht="15.75" customHeight="1">
      <c r="A479" s="12" t="s">
        <v>39</v>
      </c>
      <c r="B479" s="13" t="s">
        <v>69</v>
      </c>
      <c r="C479" s="12" t="s">
        <v>64</v>
      </c>
      <c r="D479" s="14">
        <f>'Raw Data'!H28</f>
        <v>85628</v>
      </c>
    </row>
    <row r="480" ht="15.75" customHeight="1">
      <c r="A480" s="9" t="s">
        <v>39</v>
      </c>
      <c r="B480" s="10" t="s">
        <v>69</v>
      </c>
      <c r="C480" s="9" t="s">
        <v>65</v>
      </c>
      <c r="D480" s="11">
        <f>'Raw Data'!I28</f>
        <v>92441</v>
      </c>
    </row>
    <row r="481" ht="15.75" customHeight="1">
      <c r="A481" s="9" t="s">
        <v>39</v>
      </c>
      <c r="B481" s="10" t="s">
        <v>69</v>
      </c>
      <c r="C481" s="9" t="s">
        <v>66</v>
      </c>
      <c r="D481" s="11">
        <f>IF('Raw Data'!H28&gt;0, 'Raw Data'!I28/'Raw Data'!H28, 0)</f>
        <v>1.079565096</v>
      </c>
    </row>
    <row r="482" ht="15.75" customHeight="1">
      <c r="A482" s="9" t="s">
        <v>39</v>
      </c>
      <c r="B482" s="10" t="s">
        <v>70</v>
      </c>
      <c r="C482" s="9" t="s">
        <v>64</v>
      </c>
      <c r="D482" s="11">
        <f>'Raw Data'!J28</f>
        <v>78567</v>
      </c>
    </row>
    <row r="483" ht="15.75" customHeight="1">
      <c r="A483" s="12" t="s">
        <v>39</v>
      </c>
      <c r="B483" s="13" t="s">
        <v>70</v>
      </c>
      <c r="C483" s="12" t="s">
        <v>65</v>
      </c>
      <c r="D483" s="14">
        <f>'Raw Data'!K28</f>
        <v>101474</v>
      </c>
    </row>
    <row r="484" ht="15.75" customHeight="1">
      <c r="A484" s="12" t="s">
        <v>39</v>
      </c>
      <c r="B484" s="13" t="s">
        <v>70</v>
      </c>
      <c r="C484" s="12" t="s">
        <v>66</v>
      </c>
      <c r="D484" s="14">
        <f>IF('Raw Data'!J28&gt;0, 'Raw Data'!K28/'Raw Data'!J28, 0)</f>
        <v>1.29156007</v>
      </c>
    </row>
    <row r="485" ht="15.75" customHeight="1">
      <c r="A485" s="12" t="s">
        <v>39</v>
      </c>
      <c r="B485" s="16">
        <v>2024.0</v>
      </c>
      <c r="C485" s="12" t="s">
        <v>64</v>
      </c>
      <c r="D485" s="14">
        <f>'Raw Data'!L28</f>
        <v>88449</v>
      </c>
    </row>
    <row r="486" ht="15.75" customHeight="1">
      <c r="A486" s="9" t="s">
        <v>39</v>
      </c>
      <c r="B486" s="17">
        <v>2024.0</v>
      </c>
      <c r="C486" s="9" t="s">
        <v>65</v>
      </c>
      <c r="D486" s="11">
        <f>'Raw Data'!M28</f>
        <v>148919</v>
      </c>
    </row>
    <row r="487" ht="15.75" customHeight="1">
      <c r="A487" s="9" t="s">
        <v>39</v>
      </c>
      <c r="B487" s="17">
        <v>2024.0</v>
      </c>
      <c r="C487" s="9" t="s">
        <v>66</v>
      </c>
      <c r="D487" s="11">
        <f>IF('Raw Data'!L28&gt;0, 'Raw Data'!M28/'Raw Data'!L28, 0)</f>
        <v>1.683670816</v>
      </c>
    </row>
    <row r="488" ht="15.75" customHeight="1">
      <c r="A488" s="9" t="s">
        <v>40</v>
      </c>
      <c r="B488" s="10" t="s">
        <v>63</v>
      </c>
      <c r="C488" s="9" t="s">
        <v>64</v>
      </c>
      <c r="D488" s="11">
        <f>'Raw Data'!B29</f>
        <v>481</v>
      </c>
    </row>
    <row r="489" ht="15.75" customHeight="1">
      <c r="A489" s="12" t="s">
        <v>40</v>
      </c>
      <c r="B489" s="13" t="s">
        <v>63</v>
      </c>
      <c r="C489" s="12" t="s">
        <v>65</v>
      </c>
      <c r="D489" s="14">
        <f>'Raw Data'!C29</f>
        <v>259</v>
      </c>
    </row>
    <row r="490" ht="15.75" customHeight="1">
      <c r="A490" s="12" t="s">
        <v>40</v>
      </c>
      <c r="B490" s="13" t="s">
        <v>63</v>
      </c>
      <c r="C490" s="12" t="s">
        <v>66</v>
      </c>
      <c r="D490" s="14">
        <f>IF('Raw Data'!B29&gt;0, 'Raw Data'!C29/'Raw Data'!B29, 0)</f>
        <v>0.5384615385</v>
      </c>
    </row>
    <row r="491" ht="15.75" customHeight="1">
      <c r="A491" s="12" t="s">
        <v>40</v>
      </c>
      <c r="B491" s="13" t="s">
        <v>67</v>
      </c>
      <c r="C491" s="12" t="s">
        <v>64</v>
      </c>
      <c r="D491" s="14">
        <f>'Raw Data'!D29</f>
        <v>606</v>
      </c>
    </row>
    <row r="492" ht="15.75" customHeight="1">
      <c r="A492" s="9" t="s">
        <v>40</v>
      </c>
      <c r="B492" s="10" t="s">
        <v>67</v>
      </c>
      <c r="C492" s="9" t="s">
        <v>65</v>
      </c>
      <c r="D492" s="11">
        <f>'Raw Data'!E29</f>
        <v>803</v>
      </c>
    </row>
    <row r="493" ht="15.75" customHeight="1">
      <c r="A493" s="9" t="s">
        <v>40</v>
      </c>
      <c r="B493" s="10" t="s">
        <v>67</v>
      </c>
      <c r="C493" s="9" t="s">
        <v>66</v>
      </c>
      <c r="D493" s="11">
        <f>IF('Raw Data'!D29&gt;0, 'Raw Data'!E29/'Raw Data'!D29, 0)</f>
        <v>1.325082508</v>
      </c>
    </row>
    <row r="494" ht="15.75" customHeight="1">
      <c r="A494" s="9" t="s">
        <v>40</v>
      </c>
      <c r="B494" s="10" t="s">
        <v>68</v>
      </c>
      <c r="C494" s="9" t="s">
        <v>64</v>
      </c>
      <c r="D494" s="11">
        <f>'Raw Data'!F29</f>
        <v>649</v>
      </c>
    </row>
    <row r="495" ht="15.75" customHeight="1">
      <c r="A495" s="12" t="s">
        <v>40</v>
      </c>
      <c r="B495" s="13" t="s">
        <v>68</v>
      </c>
      <c r="C495" s="12" t="s">
        <v>65</v>
      </c>
      <c r="D495" s="14">
        <f>'Raw Data'!G29</f>
        <v>0</v>
      </c>
    </row>
    <row r="496" ht="15.75" customHeight="1">
      <c r="A496" s="12" t="s">
        <v>40</v>
      </c>
      <c r="B496" s="13" t="s">
        <v>68</v>
      </c>
      <c r="C496" s="12" t="s">
        <v>66</v>
      </c>
      <c r="D496" s="14">
        <f>IF('Raw Data'!F29&gt;0, 'Raw Data'!G29/'Raw Data'!F29, 0)</f>
        <v>0</v>
      </c>
    </row>
    <row r="497" ht="15.75" customHeight="1">
      <c r="A497" s="12" t="s">
        <v>40</v>
      </c>
      <c r="B497" s="13" t="s">
        <v>69</v>
      </c>
      <c r="C497" s="12" t="s">
        <v>64</v>
      </c>
      <c r="D497" s="14">
        <f>'Raw Data'!H29</f>
        <v>842</v>
      </c>
    </row>
    <row r="498" ht="15.75" customHeight="1">
      <c r="A498" s="9" t="s">
        <v>40</v>
      </c>
      <c r="B498" s="10" t="s">
        <v>69</v>
      </c>
      <c r="C498" s="9" t="s">
        <v>65</v>
      </c>
      <c r="D498" s="11">
        <f>'Raw Data'!I29</f>
        <v>272</v>
      </c>
    </row>
    <row r="499" ht="15.75" customHeight="1">
      <c r="A499" s="9" t="s">
        <v>40</v>
      </c>
      <c r="B499" s="10" t="s">
        <v>69</v>
      </c>
      <c r="C499" s="9" t="s">
        <v>66</v>
      </c>
      <c r="D499" s="11">
        <f>IF('Raw Data'!H29&gt;0, 'Raw Data'!I29/'Raw Data'!H29, 0)</f>
        <v>0.32304038</v>
      </c>
    </row>
    <row r="500" ht="15.75" customHeight="1">
      <c r="A500" s="9" t="s">
        <v>40</v>
      </c>
      <c r="B500" s="10" t="s">
        <v>70</v>
      </c>
      <c r="C500" s="9" t="s">
        <v>64</v>
      </c>
      <c r="D500" s="11">
        <f>'Raw Data'!J29</f>
        <v>876</v>
      </c>
    </row>
    <row r="501" ht="15.75" customHeight="1">
      <c r="A501" s="12" t="s">
        <v>40</v>
      </c>
      <c r="B501" s="13" t="s">
        <v>70</v>
      </c>
      <c r="C501" s="12" t="s">
        <v>65</v>
      </c>
      <c r="D501" s="14">
        <f>'Raw Data'!K29</f>
        <v>878</v>
      </c>
    </row>
    <row r="502" ht="15.75" customHeight="1">
      <c r="A502" s="12" t="s">
        <v>40</v>
      </c>
      <c r="B502" s="13" t="s">
        <v>70</v>
      </c>
      <c r="C502" s="12" t="s">
        <v>66</v>
      </c>
      <c r="D502" s="14">
        <f>IF('Raw Data'!J29&gt;0, 'Raw Data'!K29/'Raw Data'!J29, 0)</f>
        <v>1.002283105</v>
      </c>
    </row>
    <row r="503" ht="15.75" customHeight="1">
      <c r="A503" s="12" t="s">
        <v>40</v>
      </c>
      <c r="B503" s="16">
        <v>2024.0</v>
      </c>
      <c r="C503" s="12" t="s">
        <v>64</v>
      </c>
      <c r="D503" s="14">
        <f>'Raw Data'!L29</f>
        <v>867</v>
      </c>
    </row>
    <row r="504" ht="15.75" customHeight="1">
      <c r="A504" s="9" t="s">
        <v>40</v>
      </c>
      <c r="B504" s="17">
        <v>2024.0</v>
      </c>
      <c r="C504" s="9" t="s">
        <v>65</v>
      </c>
      <c r="D504" s="11">
        <f>'Raw Data'!M29</f>
        <v>770</v>
      </c>
    </row>
    <row r="505" ht="15.75" customHeight="1">
      <c r="A505" s="9" t="s">
        <v>40</v>
      </c>
      <c r="B505" s="17">
        <v>2024.0</v>
      </c>
      <c r="C505" s="9" t="s">
        <v>66</v>
      </c>
      <c r="D505" s="11">
        <f>IF('Raw Data'!L29&gt;0, 'Raw Data'!M29/'Raw Data'!L29, 0)</f>
        <v>0.8881199539</v>
      </c>
    </row>
    <row r="506" ht="15.75" customHeight="1">
      <c r="A506" s="9" t="s">
        <v>41</v>
      </c>
      <c r="B506" s="10" t="s">
        <v>63</v>
      </c>
      <c r="C506" s="9" t="s">
        <v>64</v>
      </c>
      <c r="D506" s="11">
        <f>'Raw Data'!B30</f>
        <v>68329</v>
      </c>
    </row>
    <row r="507" ht="15.75" customHeight="1">
      <c r="A507" s="12" t="s">
        <v>41</v>
      </c>
      <c r="B507" s="13" t="s">
        <v>63</v>
      </c>
      <c r="C507" s="12" t="s">
        <v>65</v>
      </c>
      <c r="D507" s="14">
        <f>'Raw Data'!C30</f>
        <v>74087</v>
      </c>
    </row>
    <row r="508" ht="15.75" customHeight="1">
      <c r="A508" s="12" t="s">
        <v>41</v>
      </c>
      <c r="B508" s="13" t="s">
        <v>63</v>
      </c>
      <c r="C508" s="12" t="s">
        <v>66</v>
      </c>
      <c r="D508" s="14">
        <f>IF('Raw Data'!B30&gt;0, 'Raw Data'!C30/'Raw Data'!B30, 0)</f>
        <v>1.084268759</v>
      </c>
    </row>
    <row r="509" ht="15.75" customHeight="1">
      <c r="A509" s="12" t="s">
        <v>41</v>
      </c>
      <c r="B509" s="13" t="s">
        <v>67</v>
      </c>
      <c r="C509" s="12" t="s">
        <v>64</v>
      </c>
      <c r="D509" s="14">
        <f>'Raw Data'!D30</f>
        <v>66331</v>
      </c>
    </row>
    <row r="510" ht="15.75" customHeight="1">
      <c r="A510" s="9" t="s">
        <v>41</v>
      </c>
      <c r="B510" s="10" t="s">
        <v>67</v>
      </c>
      <c r="C510" s="9" t="s">
        <v>65</v>
      </c>
      <c r="D510" s="11">
        <f>'Raw Data'!E30</f>
        <v>63653</v>
      </c>
    </row>
    <row r="511" ht="15.75" customHeight="1">
      <c r="A511" s="9" t="s">
        <v>41</v>
      </c>
      <c r="B511" s="10" t="s">
        <v>67</v>
      </c>
      <c r="C511" s="9" t="s">
        <v>66</v>
      </c>
      <c r="D511" s="11">
        <f>IF('Raw Data'!D30&gt;0, 'Raw Data'!E30/'Raw Data'!D30, 0)</f>
        <v>0.9596267205</v>
      </c>
    </row>
    <row r="512" ht="15.75" customHeight="1">
      <c r="A512" s="9" t="s">
        <v>41</v>
      </c>
      <c r="B512" s="10" t="s">
        <v>68</v>
      </c>
      <c r="C512" s="9" t="s">
        <v>64</v>
      </c>
      <c r="D512" s="11">
        <f>'Raw Data'!F30</f>
        <v>62983</v>
      </c>
    </row>
    <row r="513" ht="15.75" customHeight="1">
      <c r="A513" s="12" t="s">
        <v>41</v>
      </c>
      <c r="B513" s="13" t="s">
        <v>68</v>
      </c>
      <c r="C513" s="12" t="s">
        <v>65</v>
      </c>
      <c r="D513" s="14">
        <f>'Raw Data'!G30</f>
        <v>49256</v>
      </c>
    </row>
    <row r="514" ht="15.75" customHeight="1">
      <c r="A514" s="12" t="s">
        <v>41</v>
      </c>
      <c r="B514" s="13" t="s">
        <v>68</v>
      </c>
      <c r="C514" s="12" t="s">
        <v>66</v>
      </c>
      <c r="D514" s="14">
        <f>IF('Raw Data'!F30&gt;0, 'Raw Data'!G30/'Raw Data'!F30, 0)</f>
        <v>0.7820522998</v>
      </c>
    </row>
    <row r="515" ht="15.75" customHeight="1">
      <c r="A515" s="12" t="s">
        <v>41</v>
      </c>
      <c r="B515" s="13" t="s">
        <v>69</v>
      </c>
      <c r="C515" s="12" t="s">
        <v>64</v>
      </c>
      <c r="D515" s="14">
        <f>'Raw Data'!H30</f>
        <v>67530</v>
      </c>
    </row>
    <row r="516" ht="15.75" customHeight="1">
      <c r="A516" s="9" t="s">
        <v>41</v>
      </c>
      <c r="B516" s="10" t="s">
        <v>69</v>
      </c>
      <c r="C516" s="9" t="s">
        <v>65</v>
      </c>
      <c r="D516" s="11">
        <f>'Raw Data'!I30</f>
        <v>47434</v>
      </c>
    </row>
    <row r="517" ht="15.75" customHeight="1">
      <c r="A517" s="9" t="s">
        <v>41</v>
      </c>
      <c r="B517" s="10" t="s">
        <v>69</v>
      </c>
      <c r="C517" s="9" t="s">
        <v>66</v>
      </c>
      <c r="D517" s="11">
        <f>IF('Raw Data'!H30&gt;0, 'Raw Data'!I30/'Raw Data'!H30, 0)</f>
        <v>0.702413742</v>
      </c>
    </row>
    <row r="518" ht="15.75" customHeight="1">
      <c r="A518" s="9" t="s">
        <v>41</v>
      </c>
      <c r="B518" s="10" t="s">
        <v>70</v>
      </c>
      <c r="C518" s="9" t="s">
        <v>64</v>
      </c>
      <c r="D518" s="11">
        <f>'Raw Data'!J30</f>
        <v>68399</v>
      </c>
    </row>
    <row r="519" ht="15.75" customHeight="1">
      <c r="A519" s="12" t="s">
        <v>41</v>
      </c>
      <c r="B519" s="13" t="s">
        <v>70</v>
      </c>
      <c r="C519" s="12" t="s">
        <v>65</v>
      </c>
      <c r="D519" s="14">
        <f>'Raw Data'!K30</f>
        <v>56827</v>
      </c>
    </row>
    <row r="520" ht="15.75" customHeight="1">
      <c r="A520" s="12" t="s">
        <v>41</v>
      </c>
      <c r="B520" s="13" t="s">
        <v>70</v>
      </c>
      <c r="C520" s="12" t="s">
        <v>66</v>
      </c>
      <c r="D520" s="14">
        <f>IF('Raw Data'!J30&gt;0, 'Raw Data'!K30/'Raw Data'!J30, 0)</f>
        <v>0.83081624</v>
      </c>
    </row>
    <row r="521" ht="15.75" customHeight="1">
      <c r="A521" s="12" t="s">
        <v>41</v>
      </c>
      <c r="B521" s="16">
        <v>2024.0</v>
      </c>
      <c r="C521" s="12" t="s">
        <v>64</v>
      </c>
      <c r="D521" s="14">
        <f>'Raw Data'!L30</f>
        <v>54189</v>
      </c>
    </row>
    <row r="522" ht="15.75" customHeight="1">
      <c r="A522" s="9" t="s">
        <v>41</v>
      </c>
      <c r="B522" s="17">
        <v>2024.0</v>
      </c>
      <c r="C522" s="9" t="s">
        <v>65</v>
      </c>
      <c r="D522" s="11">
        <f>'Raw Data'!M30</f>
        <v>55488</v>
      </c>
    </row>
    <row r="523" ht="15.75" customHeight="1">
      <c r="A523" s="9" t="s">
        <v>41</v>
      </c>
      <c r="B523" s="17">
        <v>2024.0</v>
      </c>
      <c r="C523" s="9" t="s">
        <v>66</v>
      </c>
      <c r="D523" s="11">
        <f>IF('Raw Data'!L30&gt;0, 'Raw Data'!M30/'Raw Data'!L30, 0)</f>
        <v>1.023971655</v>
      </c>
    </row>
    <row r="524" ht="15.75" customHeight="1">
      <c r="A524" s="9" t="s">
        <v>42</v>
      </c>
      <c r="B524" s="10" t="s">
        <v>63</v>
      </c>
      <c r="C524" s="9" t="s">
        <v>64</v>
      </c>
      <c r="D524" s="11">
        <f>'Raw Data'!B31</f>
        <v>725</v>
      </c>
    </row>
    <row r="525" ht="15.75" customHeight="1">
      <c r="A525" s="12" t="s">
        <v>42</v>
      </c>
      <c r="B525" s="13" t="s">
        <v>63</v>
      </c>
      <c r="C525" s="12" t="s">
        <v>65</v>
      </c>
      <c r="D525" s="14">
        <f>'Raw Data'!C31</f>
        <v>1087</v>
      </c>
    </row>
    <row r="526" ht="15.75" customHeight="1">
      <c r="A526" s="12" t="s">
        <v>42</v>
      </c>
      <c r="B526" s="13" t="s">
        <v>63</v>
      </c>
      <c r="C526" s="12" t="s">
        <v>66</v>
      </c>
      <c r="D526" s="14">
        <f>IF('Raw Data'!B31&gt;0, 'Raw Data'!C31/'Raw Data'!B31, 0)</f>
        <v>1.499310345</v>
      </c>
    </row>
    <row r="527" ht="15.75" customHeight="1">
      <c r="A527" s="12" t="s">
        <v>42</v>
      </c>
      <c r="B527" s="13" t="s">
        <v>67</v>
      </c>
      <c r="C527" s="12" t="s">
        <v>64</v>
      </c>
      <c r="D527" s="14">
        <f>'Raw Data'!D31</f>
        <v>684</v>
      </c>
    </row>
    <row r="528" ht="15.75" customHeight="1">
      <c r="A528" s="9" t="s">
        <v>42</v>
      </c>
      <c r="B528" s="10" t="s">
        <v>67</v>
      </c>
      <c r="C528" s="9" t="s">
        <v>65</v>
      </c>
      <c r="D528" s="11">
        <f>'Raw Data'!E31</f>
        <v>972</v>
      </c>
    </row>
    <row r="529" ht="15.75" customHeight="1">
      <c r="A529" s="9" t="s">
        <v>42</v>
      </c>
      <c r="B529" s="10" t="s">
        <v>67</v>
      </c>
      <c r="C529" s="9" t="s">
        <v>66</v>
      </c>
      <c r="D529" s="11">
        <f>IF('Raw Data'!D31&gt;0, 'Raw Data'!E31/'Raw Data'!D31, 0)</f>
        <v>1.421052632</v>
      </c>
    </row>
    <row r="530" ht="15.75" customHeight="1">
      <c r="A530" s="9" t="s">
        <v>42</v>
      </c>
      <c r="B530" s="10" t="s">
        <v>68</v>
      </c>
      <c r="C530" s="9" t="s">
        <v>64</v>
      </c>
      <c r="D530" s="11">
        <f>'Raw Data'!F31</f>
        <v>754</v>
      </c>
    </row>
    <row r="531" ht="15.75" customHeight="1">
      <c r="A531" s="12" t="s">
        <v>42</v>
      </c>
      <c r="B531" s="13" t="s">
        <v>68</v>
      </c>
      <c r="C531" s="12" t="s">
        <v>65</v>
      </c>
      <c r="D531" s="14">
        <f>'Raw Data'!G31</f>
        <v>571</v>
      </c>
    </row>
    <row r="532" ht="15.75" customHeight="1">
      <c r="A532" s="12" t="s">
        <v>42</v>
      </c>
      <c r="B532" s="13" t="s">
        <v>68</v>
      </c>
      <c r="C532" s="12" t="s">
        <v>66</v>
      </c>
      <c r="D532" s="14">
        <f>IF('Raw Data'!F31&gt;0, 'Raw Data'!G31/'Raw Data'!F31, 0)</f>
        <v>0.7572944297</v>
      </c>
    </row>
    <row r="533" ht="15.75" customHeight="1">
      <c r="A533" s="12" t="s">
        <v>42</v>
      </c>
      <c r="B533" s="13" t="s">
        <v>69</v>
      </c>
      <c r="C533" s="12" t="s">
        <v>64</v>
      </c>
      <c r="D533" s="14">
        <f>'Raw Data'!H31</f>
        <v>661</v>
      </c>
    </row>
    <row r="534" ht="15.75" customHeight="1">
      <c r="A534" s="9" t="s">
        <v>42</v>
      </c>
      <c r="B534" s="10" t="s">
        <v>69</v>
      </c>
      <c r="C534" s="9" t="s">
        <v>65</v>
      </c>
      <c r="D534" s="11">
        <f>'Raw Data'!I31</f>
        <v>246</v>
      </c>
    </row>
    <row r="535" ht="15.75" customHeight="1">
      <c r="A535" s="9" t="s">
        <v>42</v>
      </c>
      <c r="B535" s="10" t="s">
        <v>69</v>
      </c>
      <c r="C535" s="9" t="s">
        <v>66</v>
      </c>
      <c r="D535" s="11">
        <f>IF('Raw Data'!H31&gt;0, 'Raw Data'!I31/'Raw Data'!H31, 0)</f>
        <v>0.3721633888</v>
      </c>
    </row>
    <row r="536" ht="15.75" customHeight="1">
      <c r="A536" s="9" t="s">
        <v>42</v>
      </c>
      <c r="B536" s="10" t="s">
        <v>70</v>
      </c>
      <c r="C536" s="9" t="s">
        <v>64</v>
      </c>
      <c r="D536" s="11">
        <f>'Raw Data'!J31</f>
        <v>758</v>
      </c>
    </row>
    <row r="537" ht="15.75" customHeight="1">
      <c r="A537" s="12" t="s">
        <v>42</v>
      </c>
      <c r="B537" s="13" t="s">
        <v>70</v>
      </c>
      <c r="C537" s="12" t="s">
        <v>65</v>
      </c>
      <c r="D537" s="14">
        <f>'Raw Data'!K31</f>
        <v>676</v>
      </c>
    </row>
    <row r="538" ht="15.75" customHeight="1">
      <c r="A538" s="12" t="s">
        <v>42</v>
      </c>
      <c r="B538" s="13" t="s">
        <v>70</v>
      </c>
      <c r="C538" s="12" t="s">
        <v>66</v>
      </c>
      <c r="D538" s="14">
        <f>IF('Raw Data'!J31&gt;0, 'Raw Data'!K31/'Raw Data'!J31, 0)</f>
        <v>0.8918205805</v>
      </c>
    </row>
    <row r="539" ht="15.75" customHeight="1">
      <c r="A539" s="12" t="s">
        <v>42</v>
      </c>
      <c r="B539" s="16">
        <v>2024.0</v>
      </c>
      <c r="C539" s="12" t="s">
        <v>64</v>
      </c>
      <c r="D539" s="14">
        <f>'Raw Data'!L31</f>
        <v>713</v>
      </c>
    </row>
    <row r="540" ht="15.75" customHeight="1">
      <c r="A540" s="9" t="s">
        <v>42</v>
      </c>
      <c r="B540" s="17">
        <v>2024.0</v>
      </c>
      <c r="C540" s="9" t="s">
        <v>65</v>
      </c>
      <c r="D540" s="11">
        <f>'Raw Data'!M31</f>
        <v>641</v>
      </c>
    </row>
    <row r="541" ht="15.75" customHeight="1">
      <c r="A541" s="9" t="s">
        <v>42</v>
      </c>
      <c r="B541" s="17">
        <v>2024.0</v>
      </c>
      <c r="C541" s="9" t="s">
        <v>66</v>
      </c>
      <c r="D541" s="11">
        <f>IF('Raw Data'!L31&gt;0, 'Raw Data'!M31/'Raw Data'!L31, 0)</f>
        <v>0.8990182328</v>
      </c>
    </row>
    <row r="542" ht="15.75" customHeight="1">
      <c r="A542" s="9" t="s">
        <v>43</v>
      </c>
      <c r="B542" s="10" t="s">
        <v>63</v>
      </c>
      <c r="C542" s="9" t="s">
        <v>64</v>
      </c>
      <c r="D542" s="11">
        <f>'Raw Data'!B32</f>
        <v>76706</v>
      </c>
    </row>
    <row r="543" ht="15.75" customHeight="1">
      <c r="A543" s="12" t="s">
        <v>43</v>
      </c>
      <c r="B543" s="13" t="s">
        <v>63</v>
      </c>
      <c r="C543" s="12" t="s">
        <v>65</v>
      </c>
      <c r="D543" s="14">
        <f>'Raw Data'!C32</f>
        <v>214784</v>
      </c>
    </row>
    <row r="544" ht="15.75" customHeight="1">
      <c r="A544" s="12" t="s">
        <v>43</v>
      </c>
      <c r="B544" s="13" t="s">
        <v>63</v>
      </c>
      <c r="C544" s="12" t="s">
        <v>66</v>
      </c>
      <c r="D544" s="14">
        <f>IF('Raw Data'!B32&gt;0, 'Raw Data'!C32/'Raw Data'!B32, 0)</f>
        <v>2.800093865</v>
      </c>
    </row>
    <row r="545" ht="15.75" customHeight="1">
      <c r="A545" s="12" t="s">
        <v>43</v>
      </c>
      <c r="B545" s="13" t="s">
        <v>67</v>
      </c>
      <c r="C545" s="12" t="s">
        <v>64</v>
      </c>
      <c r="D545" s="14">
        <f>'Raw Data'!D32</f>
        <v>64963</v>
      </c>
    </row>
    <row r="546" ht="15.75" customHeight="1">
      <c r="A546" s="9" t="s">
        <v>43</v>
      </c>
      <c r="B546" s="10" t="s">
        <v>67</v>
      </c>
      <c r="C546" s="9" t="s">
        <v>65</v>
      </c>
      <c r="D546" s="11">
        <f>'Raw Data'!E32</f>
        <v>206151</v>
      </c>
    </row>
    <row r="547" ht="15.75" customHeight="1">
      <c r="A547" s="9" t="s">
        <v>43</v>
      </c>
      <c r="B547" s="10" t="s">
        <v>67</v>
      </c>
      <c r="C547" s="9" t="s">
        <v>66</v>
      </c>
      <c r="D547" s="11">
        <f>IF('Raw Data'!D32&gt;0, 'Raw Data'!E32/'Raw Data'!D32, 0)</f>
        <v>3.17336022</v>
      </c>
    </row>
    <row r="548" ht="15.75" customHeight="1">
      <c r="A548" s="9" t="s">
        <v>43</v>
      </c>
      <c r="B548" s="10" t="s">
        <v>68</v>
      </c>
      <c r="C548" s="9" t="s">
        <v>64</v>
      </c>
      <c r="D548" s="11">
        <f>'Raw Data'!F32</f>
        <v>87651</v>
      </c>
    </row>
    <row r="549" ht="15.75" customHeight="1">
      <c r="A549" s="12" t="s">
        <v>43</v>
      </c>
      <c r="B549" s="13" t="s">
        <v>68</v>
      </c>
      <c r="C549" s="12" t="s">
        <v>65</v>
      </c>
      <c r="D549" s="14">
        <f>'Raw Data'!G32</f>
        <v>242825</v>
      </c>
    </row>
    <row r="550" ht="15.75" customHeight="1">
      <c r="A550" s="12" t="s">
        <v>43</v>
      </c>
      <c r="B550" s="13" t="s">
        <v>68</v>
      </c>
      <c r="C550" s="12" t="s">
        <v>66</v>
      </c>
      <c r="D550" s="14">
        <f>IF('Raw Data'!F32&gt;0, 'Raw Data'!G32/'Raw Data'!F32, 0)</f>
        <v>2.770362004</v>
      </c>
    </row>
    <row r="551" ht="15.75" customHeight="1">
      <c r="A551" s="12" t="s">
        <v>43</v>
      </c>
      <c r="B551" s="13" t="s">
        <v>69</v>
      </c>
      <c r="C551" s="12" t="s">
        <v>64</v>
      </c>
      <c r="D551" s="14">
        <f>'Raw Data'!H32</f>
        <v>66315</v>
      </c>
    </row>
    <row r="552" ht="15.75" customHeight="1">
      <c r="A552" s="9" t="s">
        <v>43</v>
      </c>
      <c r="B552" s="10" t="s">
        <v>69</v>
      </c>
      <c r="C552" s="9" t="s">
        <v>65</v>
      </c>
      <c r="D552" s="11">
        <f>'Raw Data'!I32</f>
        <v>213786</v>
      </c>
    </row>
    <row r="553" ht="15.75" customHeight="1">
      <c r="A553" s="9" t="s">
        <v>43</v>
      </c>
      <c r="B553" s="10" t="s">
        <v>69</v>
      </c>
      <c r="C553" s="9" t="s">
        <v>66</v>
      </c>
      <c r="D553" s="11">
        <f>IF('Raw Data'!H32&gt;0, 'Raw Data'!I32/'Raw Data'!H32, 0)</f>
        <v>3.223795521</v>
      </c>
    </row>
    <row r="554" ht="15.75" customHeight="1">
      <c r="A554" s="9" t="s">
        <v>43</v>
      </c>
      <c r="B554" s="10" t="s">
        <v>70</v>
      </c>
      <c r="C554" s="9" t="s">
        <v>64</v>
      </c>
      <c r="D554" s="11">
        <f>'Raw Data'!J32</f>
        <v>71470</v>
      </c>
    </row>
    <row r="555" ht="15.75" customHeight="1">
      <c r="A555" s="12" t="s">
        <v>43</v>
      </c>
      <c r="B555" s="13" t="s">
        <v>70</v>
      </c>
      <c r="C555" s="12" t="s">
        <v>65</v>
      </c>
      <c r="D555" s="14">
        <f>'Raw Data'!K32</f>
        <v>215412</v>
      </c>
    </row>
    <row r="556" ht="15.75" customHeight="1">
      <c r="A556" s="12" t="s">
        <v>43</v>
      </c>
      <c r="B556" s="13" t="s">
        <v>70</v>
      </c>
      <c r="C556" s="12" t="s">
        <v>66</v>
      </c>
      <c r="D556" s="14">
        <f>IF('Raw Data'!J32&gt;0, 'Raw Data'!K32/'Raw Data'!J32, 0)</f>
        <v>3.014019868</v>
      </c>
    </row>
    <row r="557" ht="15.75" customHeight="1">
      <c r="A557" s="12" t="s">
        <v>43</v>
      </c>
      <c r="B557" s="16">
        <v>2024.0</v>
      </c>
      <c r="C557" s="12" t="s">
        <v>64</v>
      </c>
      <c r="D557" s="14">
        <f>'Raw Data'!L32</f>
        <v>94421</v>
      </c>
    </row>
    <row r="558" ht="15.75" customHeight="1">
      <c r="A558" s="9" t="s">
        <v>43</v>
      </c>
      <c r="B558" s="17">
        <v>2024.0</v>
      </c>
      <c r="C558" s="9" t="s">
        <v>65</v>
      </c>
      <c r="D558" s="11">
        <f>'Raw Data'!M32</f>
        <v>201876</v>
      </c>
    </row>
    <row r="559" ht="15.75" customHeight="1">
      <c r="A559" s="9" t="s">
        <v>43</v>
      </c>
      <c r="B559" s="17">
        <v>2024.0</v>
      </c>
      <c r="C559" s="9" t="s">
        <v>66</v>
      </c>
      <c r="D559" s="11">
        <f>IF('Raw Data'!L32&gt;0, 'Raw Data'!M32/'Raw Data'!L32, 0)</f>
        <v>2.138041326</v>
      </c>
    </row>
    <row r="560" ht="15.75" customHeight="1">
      <c r="A560" s="9" t="s">
        <v>44</v>
      </c>
      <c r="B560" s="10" t="s">
        <v>63</v>
      </c>
      <c r="C560" s="9" t="s">
        <v>64</v>
      </c>
      <c r="D560" s="11">
        <f>'Raw Data'!B33</f>
        <v>66627</v>
      </c>
    </row>
    <row r="561" ht="15.75" customHeight="1">
      <c r="A561" s="12" t="s">
        <v>44</v>
      </c>
      <c r="B561" s="13" t="s">
        <v>63</v>
      </c>
      <c r="C561" s="12" t="s">
        <v>65</v>
      </c>
      <c r="D561" s="14">
        <f>'Raw Data'!C33</f>
        <v>184127</v>
      </c>
    </row>
    <row r="562" ht="15.75" customHeight="1">
      <c r="A562" s="12" t="s">
        <v>44</v>
      </c>
      <c r="B562" s="13" t="s">
        <v>63</v>
      </c>
      <c r="C562" s="12" t="s">
        <v>66</v>
      </c>
      <c r="D562" s="14">
        <f>IF('Raw Data'!B33&gt;0, 'Raw Data'!C33/'Raw Data'!B33, 0)</f>
        <v>2.763549312</v>
      </c>
    </row>
    <row r="563" ht="15.75" customHeight="1">
      <c r="A563" s="12" t="s">
        <v>44</v>
      </c>
      <c r="B563" s="13" t="s">
        <v>67</v>
      </c>
      <c r="C563" s="12" t="s">
        <v>64</v>
      </c>
      <c r="D563" s="14">
        <f>'Raw Data'!D33</f>
        <v>59746</v>
      </c>
    </row>
    <row r="564" ht="15.75" customHeight="1">
      <c r="A564" s="9" t="s">
        <v>44</v>
      </c>
      <c r="B564" s="10" t="s">
        <v>67</v>
      </c>
      <c r="C564" s="9" t="s">
        <v>65</v>
      </c>
      <c r="D564" s="11">
        <f>'Raw Data'!E33</f>
        <v>165866</v>
      </c>
    </row>
    <row r="565" ht="15.75" customHeight="1">
      <c r="A565" s="9" t="s">
        <v>44</v>
      </c>
      <c r="B565" s="10" t="s">
        <v>67</v>
      </c>
      <c r="C565" s="9" t="s">
        <v>66</v>
      </c>
      <c r="D565" s="11">
        <f>IF('Raw Data'!D33&gt;0, 'Raw Data'!E33/'Raw Data'!D33, 0)</f>
        <v>2.776185853</v>
      </c>
    </row>
    <row r="566" ht="15.75" customHeight="1">
      <c r="A566" s="9" t="s">
        <v>44</v>
      </c>
      <c r="B566" s="10" t="s">
        <v>68</v>
      </c>
      <c r="C566" s="9" t="s">
        <v>64</v>
      </c>
      <c r="D566" s="11">
        <f>'Raw Data'!F33</f>
        <v>26825</v>
      </c>
    </row>
    <row r="567" ht="15.75" customHeight="1">
      <c r="A567" s="12" t="s">
        <v>44</v>
      </c>
      <c r="B567" s="13" t="s">
        <v>68</v>
      </c>
      <c r="C567" s="12" t="s">
        <v>65</v>
      </c>
      <c r="D567" s="14">
        <f>'Raw Data'!G33</f>
        <v>64175</v>
      </c>
    </row>
    <row r="568" ht="15.75" customHeight="1">
      <c r="A568" s="12" t="s">
        <v>44</v>
      </c>
      <c r="B568" s="13" t="s">
        <v>68</v>
      </c>
      <c r="C568" s="12" t="s">
        <v>66</v>
      </c>
      <c r="D568" s="14">
        <f>IF('Raw Data'!F33&gt;0, 'Raw Data'!G33/'Raw Data'!F33, 0)</f>
        <v>2.392357875</v>
      </c>
    </row>
    <row r="569" ht="15.75" customHeight="1">
      <c r="A569" s="12" t="s">
        <v>44</v>
      </c>
      <c r="B569" s="13" t="s">
        <v>69</v>
      </c>
      <c r="C569" s="12" t="s">
        <v>64</v>
      </c>
      <c r="D569" s="14">
        <f>'Raw Data'!H33</f>
        <v>45674</v>
      </c>
    </row>
    <row r="570" ht="15.75" customHeight="1">
      <c r="A570" s="9" t="s">
        <v>44</v>
      </c>
      <c r="B570" s="10" t="s">
        <v>69</v>
      </c>
      <c r="C570" s="9" t="s">
        <v>65</v>
      </c>
      <c r="D570" s="11">
        <f>'Raw Data'!I33</f>
        <v>89447</v>
      </c>
    </row>
    <row r="571" ht="15.75" customHeight="1">
      <c r="A571" s="9" t="s">
        <v>44</v>
      </c>
      <c r="B571" s="10" t="s">
        <v>69</v>
      </c>
      <c r="C571" s="9" t="s">
        <v>66</v>
      </c>
      <c r="D571" s="11">
        <f>IF('Raw Data'!H33&gt;0, 'Raw Data'!I33/'Raw Data'!H33, 0)</f>
        <v>1.958378946</v>
      </c>
    </row>
    <row r="572" ht="15.75" customHeight="1">
      <c r="A572" s="9" t="s">
        <v>44</v>
      </c>
      <c r="B572" s="10" t="s">
        <v>70</v>
      </c>
      <c r="C572" s="9" t="s">
        <v>64</v>
      </c>
      <c r="D572" s="11">
        <f>'Raw Data'!J33</f>
        <v>67429</v>
      </c>
    </row>
    <row r="573" ht="15.75" customHeight="1">
      <c r="A573" s="12" t="s">
        <v>44</v>
      </c>
      <c r="B573" s="13" t="s">
        <v>70</v>
      </c>
      <c r="C573" s="12" t="s">
        <v>65</v>
      </c>
      <c r="D573" s="14">
        <f>'Raw Data'!K33</f>
        <v>159556</v>
      </c>
    </row>
    <row r="574" ht="15.75" customHeight="1">
      <c r="A574" s="12" t="s">
        <v>44</v>
      </c>
      <c r="B574" s="13" t="s">
        <v>70</v>
      </c>
      <c r="C574" s="12" t="s">
        <v>66</v>
      </c>
      <c r="D574" s="14">
        <f>IF('Raw Data'!J33&gt;0, 'Raw Data'!K33/'Raw Data'!J33, 0)</f>
        <v>2.36628157</v>
      </c>
    </row>
    <row r="575" ht="15.75" customHeight="1">
      <c r="A575" s="12" t="s">
        <v>44</v>
      </c>
      <c r="B575" s="16">
        <v>2024.0</v>
      </c>
      <c r="C575" s="12" t="s">
        <v>64</v>
      </c>
      <c r="D575" s="14">
        <f>'Raw Data'!L33</f>
        <v>57812</v>
      </c>
    </row>
    <row r="576" ht="15.75" customHeight="1">
      <c r="A576" s="9" t="s">
        <v>44</v>
      </c>
      <c r="B576" s="17">
        <v>2024.0</v>
      </c>
      <c r="C576" s="9" t="s">
        <v>65</v>
      </c>
      <c r="D576" s="11">
        <f>'Raw Data'!M33</f>
        <v>179389</v>
      </c>
    </row>
    <row r="577" ht="15.75" customHeight="1">
      <c r="A577" s="9" t="s">
        <v>44</v>
      </c>
      <c r="B577" s="17">
        <v>2024.0</v>
      </c>
      <c r="C577" s="9" t="s">
        <v>66</v>
      </c>
      <c r="D577" s="11">
        <f>IF('Raw Data'!L33&gt;0, 'Raw Data'!M33/'Raw Data'!L33, 0)</f>
        <v>3.102971701</v>
      </c>
    </row>
    <row r="578" ht="15.75" customHeight="1">
      <c r="A578" s="9" t="s">
        <v>45</v>
      </c>
      <c r="B578" s="10" t="s">
        <v>63</v>
      </c>
      <c r="C578" s="9" t="s">
        <v>64</v>
      </c>
      <c r="D578" s="11">
        <f>'Raw Data'!B34</f>
        <v>111559</v>
      </c>
    </row>
    <row r="579" ht="15.75" customHeight="1">
      <c r="A579" s="12" t="s">
        <v>45</v>
      </c>
      <c r="B579" s="13" t="s">
        <v>63</v>
      </c>
      <c r="C579" s="12" t="s">
        <v>65</v>
      </c>
      <c r="D579" s="14">
        <f>'Raw Data'!C34</f>
        <v>210005</v>
      </c>
    </row>
    <row r="580" ht="15.75" customHeight="1">
      <c r="A580" s="12" t="s">
        <v>45</v>
      </c>
      <c r="B580" s="13" t="s">
        <v>63</v>
      </c>
      <c r="C580" s="12" t="s">
        <v>66</v>
      </c>
      <c r="D580" s="14">
        <f>IF('Raw Data'!B34&gt;0, 'Raw Data'!C34/'Raw Data'!B34, 0)</f>
        <v>1.882456817</v>
      </c>
    </row>
    <row r="581" ht="15.75" customHeight="1">
      <c r="A581" s="12" t="s">
        <v>45</v>
      </c>
      <c r="B581" s="13" t="s">
        <v>67</v>
      </c>
      <c r="C581" s="12" t="s">
        <v>64</v>
      </c>
      <c r="D581" s="14">
        <f>'Raw Data'!D34</f>
        <v>116717</v>
      </c>
    </row>
    <row r="582" ht="15.75" customHeight="1">
      <c r="A582" s="9" t="s">
        <v>45</v>
      </c>
      <c r="B582" s="10" t="s">
        <v>67</v>
      </c>
      <c r="C582" s="9" t="s">
        <v>65</v>
      </c>
      <c r="D582" s="11">
        <f>'Raw Data'!E34</f>
        <v>202855</v>
      </c>
    </row>
    <row r="583" ht="15.75" customHeight="1">
      <c r="A583" s="9" t="s">
        <v>45</v>
      </c>
      <c r="B583" s="10" t="s">
        <v>67</v>
      </c>
      <c r="C583" s="9" t="s">
        <v>66</v>
      </c>
      <c r="D583" s="11">
        <f>IF('Raw Data'!D34&gt;0, 'Raw Data'!E34/'Raw Data'!D34, 0)</f>
        <v>1.738007317</v>
      </c>
    </row>
    <row r="584" ht="15.75" customHeight="1">
      <c r="A584" s="9" t="s">
        <v>45</v>
      </c>
      <c r="B584" s="10" t="s">
        <v>68</v>
      </c>
      <c r="C584" s="9" t="s">
        <v>64</v>
      </c>
      <c r="D584" s="11">
        <f>'Raw Data'!F34</f>
        <v>121809</v>
      </c>
    </row>
    <row r="585" ht="15.75" customHeight="1">
      <c r="A585" s="12" t="s">
        <v>45</v>
      </c>
      <c r="B585" s="13" t="s">
        <v>68</v>
      </c>
      <c r="C585" s="12" t="s">
        <v>65</v>
      </c>
      <c r="D585" s="14">
        <f>'Raw Data'!G34</f>
        <v>280273</v>
      </c>
    </row>
    <row r="586" ht="15.75" customHeight="1">
      <c r="A586" s="12" t="s">
        <v>45</v>
      </c>
      <c r="B586" s="13" t="s">
        <v>68</v>
      </c>
      <c r="C586" s="12" t="s">
        <v>66</v>
      </c>
      <c r="D586" s="14">
        <f>IF('Raw Data'!F34&gt;0, 'Raw Data'!G34/'Raw Data'!F34, 0)</f>
        <v>2.300921935</v>
      </c>
    </row>
    <row r="587" ht="15.75" customHeight="1">
      <c r="A587" s="12" t="s">
        <v>45</v>
      </c>
      <c r="B587" s="13" t="s">
        <v>69</v>
      </c>
      <c r="C587" s="12" t="s">
        <v>64</v>
      </c>
      <c r="D587" s="14">
        <f>'Raw Data'!H34</f>
        <v>127460</v>
      </c>
    </row>
    <row r="588" ht="15.75" customHeight="1">
      <c r="A588" s="9" t="s">
        <v>45</v>
      </c>
      <c r="B588" s="10" t="s">
        <v>69</v>
      </c>
      <c r="C588" s="9" t="s">
        <v>65</v>
      </c>
      <c r="D588" s="11">
        <f>'Raw Data'!I34</f>
        <v>271028</v>
      </c>
    </row>
    <row r="589" ht="15.75" customHeight="1">
      <c r="A589" s="9" t="s">
        <v>45</v>
      </c>
      <c r="B589" s="10" t="s">
        <v>69</v>
      </c>
      <c r="C589" s="9" t="s">
        <v>66</v>
      </c>
      <c r="D589" s="11">
        <f>IF('Raw Data'!H34&gt;0, 'Raw Data'!I34/'Raw Data'!H34, 0)</f>
        <v>2.126376903</v>
      </c>
    </row>
    <row r="590" ht="15.75" customHeight="1">
      <c r="A590" s="9" t="s">
        <v>45</v>
      </c>
      <c r="B590" s="10" t="s">
        <v>70</v>
      </c>
      <c r="C590" s="9" t="s">
        <v>64</v>
      </c>
      <c r="D590" s="11">
        <f>'Raw Data'!J34</f>
        <v>132396</v>
      </c>
    </row>
    <row r="591" ht="15.75" customHeight="1">
      <c r="A591" s="12" t="s">
        <v>45</v>
      </c>
      <c r="B591" s="13" t="s">
        <v>70</v>
      </c>
      <c r="C591" s="12" t="s">
        <v>65</v>
      </c>
      <c r="D591" s="14">
        <f>'Raw Data'!K34</f>
        <v>314403</v>
      </c>
    </row>
    <row r="592" ht="15.75" customHeight="1">
      <c r="A592" s="12" t="s">
        <v>45</v>
      </c>
      <c r="B592" s="13" t="s">
        <v>70</v>
      </c>
      <c r="C592" s="12" t="s">
        <v>66</v>
      </c>
      <c r="D592" s="14">
        <f>IF('Raw Data'!J34&gt;0, 'Raw Data'!K34/'Raw Data'!J34, 0)</f>
        <v>2.374716759</v>
      </c>
    </row>
    <row r="593" ht="15.75" customHeight="1">
      <c r="A593" s="12" t="s">
        <v>45</v>
      </c>
      <c r="B593" s="16">
        <v>2024.0</v>
      </c>
      <c r="C593" s="12" t="s">
        <v>64</v>
      </c>
      <c r="D593" s="14">
        <f>'Raw Data'!L34</f>
        <v>122245</v>
      </c>
    </row>
    <row r="594" ht="15.75" customHeight="1">
      <c r="A594" s="9" t="s">
        <v>45</v>
      </c>
      <c r="B594" s="17">
        <v>2024.0</v>
      </c>
      <c r="C594" s="9" t="s">
        <v>65</v>
      </c>
      <c r="D594" s="11">
        <f>'Raw Data'!M34</f>
        <v>224236</v>
      </c>
    </row>
    <row r="595" ht="15.75" customHeight="1">
      <c r="A595" s="9" t="s">
        <v>45</v>
      </c>
      <c r="B595" s="17">
        <v>2024.0</v>
      </c>
      <c r="C595" s="9" t="s">
        <v>66</v>
      </c>
      <c r="D595" s="11">
        <f>IF('Raw Data'!L34&gt;0, 'Raw Data'!M34/'Raw Data'!L34, 0)</f>
        <v>1.834316332</v>
      </c>
    </row>
    <row r="596" ht="15.75" customHeight="1">
      <c r="A596" s="9" t="s">
        <v>46</v>
      </c>
      <c r="B596" s="10" t="s">
        <v>63</v>
      </c>
      <c r="C596" s="9" t="s">
        <v>64</v>
      </c>
      <c r="D596" s="11">
        <f>'Raw Data'!B35</f>
        <v>46870</v>
      </c>
    </row>
    <row r="597" ht="15.75" customHeight="1">
      <c r="A597" s="12" t="s">
        <v>46</v>
      </c>
      <c r="B597" s="13" t="s">
        <v>63</v>
      </c>
      <c r="C597" s="12" t="s">
        <v>65</v>
      </c>
      <c r="D597" s="14">
        <f>'Raw Data'!C35</f>
        <v>80693</v>
      </c>
    </row>
    <row r="598" ht="15.75" customHeight="1">
      <c r="A598" s="12" t="s">
        <v>46</v>
      </c>
      <c r="B598" s="13" t="s">
        <v>63</v>
      </c>
      <c r="C598" s="12" t="s">
        <v>66</v>
      </c>
      <c r="D598" s="14">
        <f>IF('Raw Data'!B35&gt;0, 'Raw Data'!C35/'Raw Data'!B35, 0)</f>
        <v>1.721634308</v>
      </c>
    </row>
    <row r="599" ht="15.75" customHeight="1">
      <c r="A599" s="12" t="s">
        <v>46</v>
      </c>
      <c r="B599" s="13" t="s">
        <v>67</v>
      </c>
      <c r="C599" s="12" t="s">
        <v>64</v>
      </c>
      <c r="D599" s="14">
        <f>'Raw Data'!D35</f>
        <v>42730</v>
      </c>
    </row>
    <row r="600" ht="15.75" customHeight="1">
      <c r="A600" s="9" t="s">
        <v>46</v>
      </c>
      <c r="B600" s="10" t="s">
        <v>67</v>
      </c>
      <c r="C600" s="9" t="s">
        <v>65</v>
      </c>
      <c r="D600" s="11">
        <f>'Raw Data'!E35</f>
        <v>67563</v>
      </c>
    </row>
    <row r="601" ht="15.75" customHeight="1">
      <c r="A601" s="9" t="s">
        <v>46</v>
      </c>
      <c r="B601" s="10" t="s">
        <v>67</v>
      </c>
      <c r="C601" s="9" t="s">
        <v>66</v>
      </c>
      <c r="D601" s="11">
        <f>IF('Raw Data'!D35&gt;0, 'Raw Data'!E35/'Raw Data'!D35, 0)</f>
        <v>1.581160777</v>
      </c>
    </row>
    <row r="602" ht="15.75" customHeight="1">
      <c r="A602" s="9" t="s">
        <v>46</v>
      </c>
      <c r="B602" s="10" t="s">
        <v>68</v>
      </c>
      <c r="C602" s="9" t="s">
        <v>64</v>
      </c>
      <c r="D602" s="11">
        <f>'Raw Data'!F35</f>
        <v>43134</v>
      </c>
    </row>
    <row r="603" ht="15.75" customHeight="1">
      <c r="A603" s="12" t="s">
        <v>46</v>
      </c>
      <c r="B603" s="13" t="s">
        <v>68</v>
      </c>
      <c r="C603" s="12" t="s">
        <v>65</v>
      </c>
      <c r="D603" s="14">
        <f>'Raw Data'!G35</f>
        <v>61937</v>
      </c>
    </row>
    <row r="604" ht="15.75" customHeight="1">
      <c r="A604" s="12" t="s">
        <v>46</v>
      </c>
      <c r="B604" s="13" t="s">
        <v>68</v>
      </c>
      <c r="C604" s="12" t="s">
        <v>66</v>
      </c>
      <c r="D604" s="14">
        <f>IF('Raw Data'!F35&gt;0, 'Raw Data'!G35/'Raw Data'!F35, 0)</f>
        <v>1.435920619</v>
      </c>
    </row>
    <row r="605" ht="15.75" customHeight="1">
      <c r="A605" s="12" t="s">
        <v>46</v>
      </c>
      <c r="B605" s="13" t="s">
        <v>69</v>
      </c>
      <c r="C605" s="12" t="s">
        <v>64</v>
      </c>
      <c r="D605" s="14">
        <f>'Raw Data'!H35</f>
        <v>48280</v>
      </c>
    </row>
    <row r="606" ht="15.75" customHeight="1">
      <c r="A606" s="9" t="s">
        <v>46</v>
      </c>
      <c r="B606" s="10" t="s">
        <v>69</v>
      </c>
      <c r="C606" s="9" t="s">
        <v>65</v>
      </c>
      <c r="D606" s="11">
        <f>'Raw Data'!I35</f>
        <v>76884</v>
      </c>
    </row>
    <row r="607" ht="15.75" customHeight="1">
      <c r="A607" s="9" t="s">
        <v>46</v>
      </c>
      <c r="B607" s="10" t="s">
        <v>69</v>
      </c>
      <c r="C607" s="9" t="s">
        <v>66</v>
      </c>
      <c r="D607" s="11">
        <f>IF('Raw Data'!H35&gt;0, 'Raw Data'!I35/'Raw Data'!H35, 0)</f>
        <v>1.592460646</v>
      </c>
    </row>
    <row r="608" ht="15.75" customHeight="1">
      <c r="A608" s="9" t="s">
        <v>46</v>
      </c>
      <c r="B608" s="10" t="s">
        <v>70</v>
      </c>
      <c r="C608" s="9" t="s">
        <v>64</v>
      </c>
      <c r="D608" s="11">
        <f>'Raw Data'!J35</f>
        <v>48175</v>
      </c>
    </row>
    <row r="609" ht="15.75" customHeight="1">
      <c r="A609" s="12" t="s">
        <v>46</v>
      </c>
      <c r="B609" s="13" t="s">
        <v>70</v>
      </c>
      <c r="C609" s="12" t="s">
        <v>65</v>
      </c>
      <c r="D609" s="14">
        <f>'Raw Data'!K35</f>
        <v>63424</v>
      </c>
    </row>
    <row r="610" ht="15.75" customHeight="1">
      <c r="A610" s="12" t="s">
        <v>46</v>
      </c>
      <c r="B610" s="13" t="s">
        <v>70</v>
      </c>
      <c r="C610" s="12" t="s">
        <v>66</v>
      </c>
      <c r="D610" s="14">
        <f>IF('Raw Data'!J35&gt;0, 'Raw Data'!K35/'Raw Data'!J35, 0)</f>
        <v>1.316533472</v>
      </c>
    </row>
    <row r="611" ht="15.75" customHeight="1">
      <c r="A611" s="12" t="s">
        <v>46</v>
      </c>
      <c r="B611" s="16">
        <v>2024.0</v>
      </c>
      <c r="C611" s="12" t="s">
        <v>64</v>
      </c>
      <c r="D611" s="14">
        <f>'Raw Data'!L35</f>
        <v>48580</v>
      </c>
    </row>
    <row r="612" ht="15.75" customHeight="1">
      <c r="A612" s="9" t="s">
        <v>46</v>
      </c>
      <c r="B612" s="17">
        <v>2024.0</v>
      </c>
      <c r="C612" s="9" t="s">
        <v>65</v>
      </c>
      <c r="D612" s="11">
        <f>'Raw Data'!M35</f>
        <v>89599</v>
      </c>
    </row>
    <row r="613" ht="15.75" customHeight="1">
      <c r="A613" s="9" t="s">
        <v>46</v>
      </c>
      <c r="B613" s="17">
        <v>2024.0</v>
      </c>
      <c r="C613" s="9" t="s">
        <v>66</v>
      </c>
      <c r="D613" s="11">
        <f>IF('Raw Data'!L35&gt;0, 'Raw Data'!M35/'Raw Data'!L35, 0)</f>
        <v>1.844359819</v>
      </c>
    </row>
    <row r="614" ht="15.75" customHeight="1">
      <c r="A614" s="9" t="s">
        <v>47</v>
      </c>
      <c r="B614" s="10" t="s">
        <v>63</v>
      </c>
      <c r="C614" s="9" t="s">
        <v>64</v>
      </c>
      <c r="D614" s="11">
        <f>'Raw Data'!B36</f>
        <v>13800</v>
      </c>
    </row>
    <row r="615" ht="15.75" customHeight="1">
      <c r="A615" s="12" t="s">
        <v>47</v>
      </c>
      <c r="B615" s="13" t="s">
        <v>63</v>
      </c>
      <c r="C615" s="12" t="s">
        <v>65</v>
      </c>
      <c r="D615" s="14">
        <f>'Raw Data'!C36</f>
        <v>27795</v>
      </c>
    </row>
    <row r="616" ht="15.75" customHeight="1">
      <c r="A616" s="12" t="s">
        <v>47</v>
      </c>
      <c r="B616" s="13" t="s">
        <v>63</v>
      </c>
      <c r="C616" s="12" t="s">
        <v>66</v>
      </c>
      <c r="D616" s="14">
        <f>IF('Raw Data'!B36&gt;0, 'Raw Data'!C36/'Raw Data'!B36, 0)</f>
        <v>2.014130435</v>
      </c>
    </row>
    <row r="617" ht="15.75" customHeight="1">
      <c r="A617" s="12" t="s">
        <v>47</v>
      </c>
      <c r="B617" s="13" t="s">
        <v>67</v>
      </c>
      <c r="C617" s="12" t="s">
        <v>64</v>
      </c>
      <c r="D617" s="14">
        <f>'Raw Data'!D36</f>
        <v>17660</v>
      </c>
    </row>
    <row r="618" ht="15.75" customHeight="1">
      <c r="A618" s="9" t="s">
        <v>47</v>
      </c>
      <c r="B618" s="10" t="s">
        <v>67</v>
      </c>
      <c r="C618" s="9" t="s">
        <v>65</v>
      </c>
      <c r="D618" s="11">
        <f>'Raw Data'!E36</f>
        <v>39170</v>
      </c>
    </row>
    <row r="619" ht="15.75" customHeight="1">
      <c r="A619" s="9" t="s">
        <v>47</v>
      </c>
      <c r="B619" s="10" t="s">
        <v>67</v>
      </c>
      <c r="C619" s="9" t="s">
        <v>66</v>
      </c>
      <c r="D619" s="11">
        <f>IF('Raw Data'!D36&gt;0, 'Raw Data'!E36/'Raw Data'!D36, 0)</f>
        <v>2.218006795</v>
      </c>
    </row>
    <row r="620" ht="15.75" customHeight="1">
      <c r="A620" s="9" t="s">
        <v>47</v>
      </c>
      <c r="B620" s="10" t="s">
        <v>68</v>
      </c>
      <c r="C620" s="9" t="s">
        <v>64</v>
      </c>
      <c r="D620" s="11">
        <f>'Raw Data'!F36</f>
        <v>14070</v>
      </c>
    </row>
    <row r="621" ht="15.75" customHeight="1">
      <c r="A621" s="12" t="s">
        <v>47</v>
      </c>
      <c r="B621" s="13" t="s">
        <v>68</v>
      </c>
      <c r="C621" s="12" t="s">
        <v>65</v>
      </c>
      <c r="D621" s="14">
        <f>'Raw Data'!G36</f>
        <v>27958</v>
      </c>
    </row>
    <row r="622" ht="15.75" customHeight="1">
      <c r="A622" s="12" t="s">
        <v>47</v>
      </c>
      <c r="B622" s="13" t="s">
        <v>68</v>
      </c>
      <c r="C622" s="12" t="s">
        <v>66</v>
      </c>
      <c r="D622" s="14">
        <f>IF('Raw Data'!F36&gt;0, 'Raw Data'!G36/'Raw Data'!F36, 0)</f>
        <v>1.987064677</v>
      </c>
    </row>
    <row r="623" ht="15.75" customHeight="1">
      <c r="A623" s="12" t="s">
        <v>47</v>
      </c>
      <c r="B623" s="13" t="s">
        <v>69</v>
      </c>
      <c r="C623" s="12" t="s">
        <v>64</v>
      </c>
      <c r="D623" s="14">
        <f>'Raw Data'!H36</f>
        <v>20060</v>
      </c>
    </row>
    <row r="624" ht="15.75" customHeight="1">
      <c r="A624" s="9" t="s">
        <v>47</v>
      </c>
      <c r="B624" s="10" t="s">
        <v>69</v>
      </c>
      <c r="C624" s="9" t="s">
        <v>65</v>
      </c>
      <c r="D624" s="11">
        <f>'Raw Data'!I36</f>
        <v>26836</v>
      </c>
    </row>
    <row r="625" ht="15.75" customHeight="1">
      <c r="A625" s="9" t="s">
        <v>47</v>
      </c>
      <c r="B625" s="10" t="s">
        <v>69</v>
      </c>
      <c r="C625" s="9" t="s">
        <v>66</v>
      </c>
      <c r="D625" s="11">
        <f>IF('Raw Data'!H36&gt;0, 'Raw Data'!I36/'Raw Data'!H36, 0)</f>
        <v>1.33778664</v>
      </c>
    </row>
    <row r="626" ht="15.75" customHeight="1">
      <c r="A626" s="9" t="s">
        <v>47</v>
      </c>
      <c r="B626" s="10" t="s">
        <v>70</v>
      </c>
      <c r="C626" s="9" t="s">
        <v>64</v>
      </c>
      <c r="D626" s="11">
        <f>'Raw Data'!J36</f>
        <v>20716</v>
      </c>
    </row>
    <row r="627" ht="15.75" customHeight="1">
      <c r="A627" s="12" t="s">
        <v>47</v>
      </c>
      <c r="B627" s="13" t="s">
        <v>70</v>
      </c>
      <c r="C627" s="12" t="s">
        <v>65</v>
      </c>
      <c r="D627" s="14">
        <f>'Raw Data'!K36</f>
        <v>46617</v>
      </c>
    </row>
    <row r="628" ht="15.75" customHeight="1">
      <c r="A628" s="12" t="s">
        <v>47</v>
      </c>
      <c r="B628" s="13" t="s">
        <v>70</v>
      </c>
      <c r="C628" s="12" t="s">
        <v>66</v>
      </c>
      <c r="D628" s="14">
        <f>IF('Raw Data'!J36&gt;0, 'Raw Data'!K36/'Raw Data'!J36, 0)</f>
        <v>2.250289631</v>
      </c>
    </row>
    <row r="629" ht="15.75" customHeight="1">
      <c r="A629" s="12" t="s">
        <v>47</v>
      </c>
      <c r="B629" s="16">
        <v>2024.0</v>
      </c>
      <c r="C629" s="12" t="s">
        <v>64</v>
      </c>
      <c r="D629" s="14">
        <f>'Raw Data'!L36</f>
        <v>14987</v>
      </c>
    </row>
    <row r="630" ht="15.75" customHeight="1">
      <c r="A630" s="9" t="s">
        <v>47</v>
      </c>
      <c r="B630" s="17">
        <v>2024.0</v>
      </c>
      <c r="C630" s="9" t="s">
        <v>65</v>
      </c>
      <c r="D630" s="11">
        <f>'Raw Data'!M36</f>
        <v>28698</v>
      </c>
    </row>
    <row r="631" ht="15.75" customHeight="1">
      <c r="A631" s="9" t="s">
        <v>47</v>
      </c>
      <c r="B631" s="17">
        <v>2024.0</v>
      </c>
      <c r="C631" s="9" t="s">
        <v>66</v>
      </c>
      <c r="D631" s="11">
        <f>IF('Raw Data'!L36&gt;0, 'Raw Data'!M36/'Raw Data'!L36, 0)</f>
        <v>1.914859545</v>
      </c>
    </row>
    <row r="632" ht="15.75" customHeight="1">
      <c r="A632" s="9" t="s">
        <v>48</v>
      </c>
      <c r="B632" s="10" t="s">
        <v>63</v>
      </c>
      <c r="C632" s="9" t="s">
        <v>64</v>
      </c>
      <c r="D632" s="11">
        <f>'Raw Data'!B37</f>
        <v>28874</v>
      </c>
    </row>
    <row r="633" ht="15.75" customHeight="1">
      <c r="A633" s="12" t="s">
        <v>48</v>
      </c>
      <c r="B633" s="13" t="s">
        <v>63</v>
      </c>
      <c r="C633" s="12" t="s">
        <v>65</v>
      </c>
      <c r="D633" s="14">
        <f>'Raw Data'!C37</f>
        <v>29738</v>
      </c>
    </row>
    <row r="634" ht="15.75" customHeight="1">
      <c r="A634" s="12" t="s">
        <v>48</v>
      </c>
      <c r="B634" s="13" t="s">
        <v>63</v>
      </c>
      <c r="C634" s="12" t="s">
        <v>66</v>
      </c>
      <c r="D634" s="14">
        <f>IF('Raw Data'!B37&gt;0, 'Raw Data'!C37/'Raw Data'!B37, 0)</f>
        <v>1.029923114</v>
      </c>
    </row>
    <row r="635" ht="15.75" customHeight="1">
      <c r="A635" s="12" t="s">
        <v>48</v>
      </c>
      <c r="B635" s="13" t="s">
        <v>67</v>
      </c>
      <c r="C635" s="12" t="s">
        <v>64</v>
      </c>
      <c r="D635" s="14">
        <f>'Raw Data'!D37</f>
        <v>26521</v>
      </c>
    </row>
    <row r="636" ht="15.75" customHeight="1">
      <c r="A636" s="9" t="s">
        <v>48</v>
      </c>
      <c r="B636" s="10" t="s">
        <v>67</v>
      </c>
      <c r="C636" s="9" t="s">
        <v>65</v>
      </c>
      <c r="D636" s="11">
        <f>'Raw Data'!E37</f>
        <v>26251</v>
      </c>
    </row>
    <row r="637" ht="15.75" customHeight="1">
      <c r="A637" s="9" t="s">
        <v>48</v>
      </c>
      <c r="B637" s="10" t="s">
        <v>67</v>
      </c>
      <c r="C637" s="9" t="s">
        <v>66</v>
      </c>
      <c r="D637" s="11">
        <f>IF('Raw Data'!D37&gt;0, 'Raw Data'!E37/'Raw Data'!D37, 0)</f>
        <v>0.9898193884</v>
      </c>
    </row>
    <row r="638" ht="15.75" customHeight="1">
      <c r="A638" s="9" t="s">
        <v>48</v>
      </c>
      <c r="B638" s="10" t="s">
        <v>68</v>
      </c>
      <c r="C638" s="9" t="s">
        <v>64</v>
      </c>
      <c r="D638" s="11">
        <f>'Raw Data'!F37</f>
        <v>27067</v>
      </c>
    </row>
    <row r="639" ht="15.75" customHeight="1">
      <c r="A639" s="12" t="s">
        <v>48</v>
      </c>
      <c r="B639" s="13" t="s">
        <v>68</v>
      </c>
      <c r="C639" s="12" t="s">
        <v>65</v>
      </c>
      <c r="D639" s="14">
        <f>'Raw Data'!G37</f>
        <v>19382</v>
      </c>
    </row>
    <row r="640" ht="15.75" customHeight="1">
      <c r="A640" s="12" t="s">
        <v>48</v>
      </c>
      <c r="B640" s="13" t="s">
        <v>68</v>
      </c>
      <c r="C640" s="12" t="s">
        <v>66</v>
      </c>
      <c r="D640" s="14">
        <f>IF('Raw Data'!F37&gt;0, 'Raw Data'!G37/'Raw Data'!F37, 0)</f>
        <v>0.7160749252</v>
      </c>
    </row>
    <row r="641" ht="15.75" customHeight="1">
      <c r="A641" s="12" t="s">
        <v>48</v>
      </c>
      <c r="B641" s="13" t="s">
        <v>69</v>
      </c>
      <c r="C641" s="12" t="s">
        <v>64</v>
      </c>
      <c r="D641" s="14">
        <f>'Raw Data'!H37</f>
        <v>26984</v>
      </c>
    </row>
    <row r="642" ht="15.75" customHeight="1">
      <c r="A642" s="9" t="s">
        <v>48</v>
      </c>
      <c r="B642" s="10" t="s">
        <v>69</v>
      </c>
      <c r="C642" s="9" t="s">
        <v>65</v>
      </c>
      <c r="D642" s="11">
        <f>'Raw Data'!I37</f>
        <v>14323</v>
      </c>
    </row>
    <row r="643" ht="15.75" customHeight="1">
      <c r="A643" s="9" t="s">
        <v>48</v>
      </c>
      <c r="B643" s="10" t="s">
        <v>69</v>
      </c>
      <c r="C643" s="9" t="s">
        <v>66</v>
      </c>
      <c r="D643" s="11">
        <f>IF('Raw Data'!H37&gt;0, 'Raw Data'!I37/'Raw Data'!H37, 0)</f>
        <v>0.5307960273</v>
      </c>
    </row>
    <row r="644" ht="15.75" customHeight="1">
      <c r="A644" s="9" t="s">
        <v>48</v>
      </c>
      <c r="B644" s="10" t="s">
        <v>70</v>
      </c>
      <c r="C644" s="9" t="s">
        <v>64</v>
      </c>
      <c r="D644" s="11">
        <f>'Raw Data'!J37</f>
        <v>31317</v>
      </c>
    </row>
    <row r="645" ht="15.75" customHeight="1">
      <c r="A645" s="12" t="s">
        <v>48</v>
      </c>
      <c r="B645" s="13" t="s">
        <v>70</v>
      </c>
      <c r="C645" s="12" t="s">
        <v>65</v>
      </c>
      <c r="D645" s="14">
        <f>'Raw Data'!K37</f>
        <v>35280</v>
      </c>
    </row>
    <row r="646" ht="15.75" customHeight="1">
      <c r="A646" s="12" t="s">
        <v>48</v>
      </c>
      <c r="B646" s="13" t="s">
        <v>70</v>
      </c>
      <c r="C646" s="12" t="s">
        <v>66</v>
      </c>
      <c r="D646" s="14">
        <f>IF('Raw Data'!J37&gt;0, 'Raw Data'!K37/'Raw Data'!J37, 0)</f>
        <v>1.126544688</v>
      </c>
    </row>
    <row r="647" ht="15.75" customHeight="1">
      <c r="A647" s="12" t="s">
        <v>48</v>
      </c>
      <c r="B647" s="16">
        <v>2024.0</v>
      </c>
      <c r="C647" s="12" t="s">
        <v>64</v>
      </c>
      <c r="D647" s="14">
        <f>'Raw Data'!L37</f>
        <v>29248</v>
      </c>
    </row>
    <row r="648" ht="15.75" customHeight="1">
      <c r="A648" s="9" t="s">
        <v>48</v>
      </c>
      <c r="B648" s="17">
        <v>2024.0</v>
      </c>
      <c r="C648" s="9" t="s">
        <v>65</v>
      </c>
      <c r="D648" s="11">
        <f>'Raw Data'!M37</f>
        <v>24832</v>
      </c>
    </row>
    <row r="649" ht="15.75" customHeight="1">
      <c r="A649" s="9" t="s">
        <v>48</v>
      </c>
      <c r="B649" s="17">
        <v>2024.0</v>
      </c>
      <c r="C649" s="9" t="s">
        <v>66</v>
      </c>
      <c r="D649" s="11">
        <f>IF('Raw Data'!L37&gt;0, 'Raw Data'!M37/'Raw Data'!L37, 0)</f>
        <v>0.8490153173</v>
      </c>
    </row>
    <row r="650" ht="15.75" customHeight="1">
      <c r="A650" s="9" t="s">
        <v>49</v>
      </c>
      <c r="B650" s="10" t="s">
        <v>63</v>
      </c>
      <c r="C650" s="9" t="s">
        <v>64</v>
      </c>
      <c r="D650" s="11">
        <f>'Raw Data'!B38</f>
        <v>8580</v>
      </c>
    </row>
    <row r="651" ht="15.75" customHeight="1">
      <c r="A651" s="12" t="s">
        <v>49</v>
      </c>
      <c r="B651" s="13" t="s">
        <v>63</v>
      </c>
      <c r="C651" s="12" t="s">
        <v>65</v>
      </c>
      <c r="D651" s="14">
        <f>'Raw Data'!C38</f>
        <v>1839</v>
      </c>
    </row>
    <row r="652" ht="15.75" customHeight="1">
      <c r="A652" s="12" t="s">
        <v>49</v>
      </c>
      <c r="B652" s="13" t="s">
        <v>63</v>
      </c>
      <c r="C652" s="12" t="s">
        <v>66</v>
      </c>
      <c r="D652" s="14">
        <f>IF('Raw Data'!B38&gt;0, 'Raw Data'!C38/'Raw Data'!B38, 0)</f>
        <v>0.2143356643</v>
      </c>
    </row>
    <row r="653" ht="15.75" customHeight="1">
      <c r="A653" s="12" t="s">
        <v>49</v>
      </c>
      <c r="B653" s="13" t="s">
        <v>67</v>
      </c>
      <c r="C653" s="12" t="s">
        <v>64</v>
      </c>
      <c r="D653" s="14">
        <f>'Raw Data'!D38</f>
        <v>10320</v>
      </c>
    </row>
    <row r="654" ht="15.75" customHeight="1">
      <c r="A654" s="9" t="s">
        <v>49</v>
      </c>
      <c r="B654" s="10" t="s">
        <v>67</v>
      </c>
      <c r="C654" s="9" t="s">
        <v>65</v>
      </c>
      <c r="D654" s="11">
        <f>'Raw Data'!E38</f>
        <v>9756</v>
      </c>
    </row>
    <row r="655" ht="15.75" customHeight="1">
      <c r="A655" s="9" t="s">
        <v>49</v>
      </c>
      <c r="B655" s="10" t="s">
        <v>67</v>
      </c>
      <c r="C655" s="9" t="s">
        <v>66</v>
      </c>
      <c r="D655" s="11">
        <f>IF('Raw Data'!D38&gt;0, 'Raw Data'!E38/'Raw Data'!D38, 0)</f>
        <v>0.9453488372</v>
      </c>
    </row>
    <row r="656" ht="15.75" customHeight="1">
      <c r="A656" s="9" t="s">
        <v>49</v>
      </c>
      <c r="B656" s="10" t="s">
        <v>68</v>
      </c>
      <c r="C656" s="9" t="s">
        <v>64</v>
      </c>
      <c r="D656" s="11">
        <f>'Raw Data'!F38</f>
        <v>12425</v>
      </c>
    </row>
    <row r="657" ht="15.75" customHeight="1">
      <c r="A657" s="12" t="s">
        <v>49</v>
      </c>
      <c r="B657" s="13" t="s">
        <v>68</v>
      </c>
      <c r="C657" s="12" t="s">
        <v>65</v>
      </c>
      <c r="D657" s="14">
        <f>'Raw Data'!G38</f>
        <v>12090</v>
      </c>
    </row>
    <row r="658" ht="15.75" customHeight="1">
      <c r="A658" s="12" t="s">
        <v>49</v>
      </c>
      <c r="B658" s="13" t="s">
        <v>68</v>
      </c>
      <c r="C658" s="12" t="s">
        <v>66</v>
      </c>
      <c r="D658" s="14">
        <f>IF('Raw Data'!F38&gt;0, 'Raw Data'!G38/'Raw Data'!F38, 0)</f>
        <v>0.9730382294</v>
      </c>
    </row>
    <row r="659" ht="15.75" customHeight="1">
      <c r="A659" s="12" t="s">
        <v>49</v>
      </c>
      <c r="B659" s="13" t="s">
        <v>69</v>
      </c>
      <c r="C659" s="12" t="s">
        <v>64</v>
      </c>
      <c r="D659" s="14">
        <f>'Raw Data'!H38</f>
        <v>15870</v>
      </c>
    </row>
    <row r="660" ht="15.75" customHeight="1">
      <c r="A660" s="9" t="s">
        <v>49</v>
      </c>
      <c r="B660" s="10" t="s">
        <v>69</v>
      </c>
      <c r="C660" s="9" t="s">
        <v>65</v>
      </c>
      <c r="D660" s="11">
        <f>'Raw Data'!I38</f>
        <v>11178</v>
      </c>
    </row>
    <row r="661" ht="15.75" customHeight="1">
      <c r="A661" s="9" t="s">
        <v>49</v>
      </c>
      <c r="B661" s="10" t="s">
        <v>69</v>
      </c>
      <c r="C661" s="9" t="s">
        <v>66</v>
      </c>
      <c r="D661" s="11">
        <f>IF('Raw Data'!H38&gt;0, 'Raw Data'!I38/'Raw Data'!H38, 0)</f>
        <v>0.7043478261</v>
      </c>
    </row>
    <row r="662" ht="15.75" customHeight="1">
      <c r="A662" s="9" t="s">
        <v>49</v>
      </c>
      <c r="B662" s="10" t="s">
        <v>70</v>
      </c>
      <c r="C662" s="9" t="s">
        <v>64</v>
      </c>
      <c r="D662" s="11">
        <f>'Raw Data'!J38</f>
        <v>6448</v>
      </c>
    </row>
    <row r="663" ht="15.75" customHeight="1">
      <c r="A663" s="12" t="s">
        <v>49</v>
      </c>
      <c r="B663" s="13" t="s">
        <v>70</v>
      </c>
      <c r="C663" s="12" t="s">
        <v>65</v>
      </c>
      <c r="D663" s="14">
        <f>'Raw Data'!K38</f>
        <v>15298</v>
      </c>
    </row>
    <row r="664" ht="15.75" customHeight="1">
      <c r="A664" s="12" t="s">
        <v>49</v>
      </c>
      <c r="B664" s="13" t="s">
        <v>70</v>
      </c>
      <c r="C664" s="12" t="s">
        <v>66</v>
      </c>
      <c r="D664" s="14">
        <f>IF('Raw Data'!J38&gt;0, 'Raw Data'!K38/'Raw Data'!J38, 0)</f>
        <v>2.37251861</v>
      </c>
    </row>
    <row r="665" ht="15.75" customHeight="1">
      <c r="A665" s="12" t="s">
        <v>49</v>
      </c>
      <c r="B665" s="16">
        <v>2024.0</v>
      </c>
      <c r="C665" s="12" t="s">
        <v>64</v>
      </c>
      <c r="D665" s="14">
        <f>'Raw Data'!L38</f>
        <v>11572</v>
      </c>
    </row>
    <row r="666" ht="15.75" customHeight="1">
      <c r="A666" s="9" t="s">
        <v>49</v>
      </c>
      <c r="B666" s="17">
        <v>2024.0</v>
      </c>
      <c r="C666" s="9" t="s">
        <v>65</v>
      </c>
      <c r="D666" s="11">
        <f>'Raw Data'!M38</f>
        <v>9135</v>
      </c>
    </row>
    <row r="667" ht="15.75" customHeight="1">
      <c r="A667" s="9" t="s">
        <v>49</v>
      </c>
      <c r="B667" s="17">
        <v>2024.0</v>
      </c>
      <c r="C667" s="9" t="s">
        <v>66</v>
      </c>
      <c r="D667" s="11">
        <f>IF('Raw Data'!L38&gt;0, 'Raw Data'!M38/'Raw Data'!L38, 0)</f>
        <v>0.7894054615</v>
      </c>
    </row>
    <row r="668" ht="15.75" customHeight="1">
      <c r="A668" s="9" t="s">
        <v>50</v>
      </c>
      <c r="B668" s="10" t="s">
        <v>63</v>
      </c>
      <c r="C668" s="9" t="s">
        <v>64</v>
      </c>
      <c r="D668" s="11">
        <f>'Raw Data'!B39</f>
        <v>64387</v>
      </c>
    </row>
    <row r="669" ht="15.75" customHeight="1">
      <c r="A669" s="12" t="s">
        <v>50</v>
      </c>
      <c r="B669" s="13" t="s">
        <v>63</v>
      </c>
      <c r="C669" s="12" t="s">
        <v>65</v>
      </c>
      <c r="D669" s="14">
        <f>'Raw Data'!C39</f>
        <v>75733</v>
      </c>
    </row>
    <row r="670" ht="15.75" customHeight="1">
      <c r="A670" s="12" t="s">
        <v>50</v>
      </c>
      <c r="B670" s="13" t="s">
        <v>63</v>
      </c>
      <c r="C670" s="12" t="s">
        <v>66</v>
      </c>
      <c r="D670" s="14">
        <f>IF('Raw Data'!B39&gt;0, 'Raw Data'!C39/'Raw Data'!B39, 0)</f>
        <v>1.176215696</v>
      </c>
    </row>
    <row r="671" ht="15.75" customHeight="1">
      <c r="A671" s="12" t="s">
        <v>50</v>
      </c>
      <c r="B671" s="13" t="s">
        <v>67</v>
      </c>
      <c r="C671" s="12" t="s">
        <v>64</v>
      </c>
      <c r="D671" s="14">
        <f>'Raw Data'!D39</f>
        <v>63493</v>
      </c>
    </row>
    <row r="672" ht="15.75" customHeight="1">
      <c r="A672" s="9" t="s">
        <v>50</v>
      </c>
      <c r="B672" s="10" t="s">
        <v>67</v>
      </c>
      <c r="C672" s="9" t="s">
        <v>65</v>
      </c>
      <c r="D672" s="11">
        <f>'Raw Data'!E39</f>
        <v>72351</v>
      </c>
    </row>
    <row r="673" ht="15.75" customHeight="1">
      <c r="A673" s="9" t="s">
        <v>50</v>
      </c>
      <c r="B673" s="10" t="s">
        <v>67</v>
      </c>
      <c r="C673" s="9" t="s">
        <v>66</v>
      </c>
      <c r="D673" s="11">
        <f>IF('Raw Data'!D39&gt;0, 'Raw Data'!E39/'Raw Data'!D39, 0)</f>
        <v>1.139511442</v>
      </c>
    </row>
    <row r="674" ht="15.75" customHeight="1">
      <c r="A674" s="9" t="s">
        <v>50</v>
      </c>
      <c r="B674" s="10" t="s">
        <v>68</v>
      </c>
      <c r="C674" s="9" t="s">
        <v>64</v>
      </c>
      <c r="D674" s="11">
        <f>'Raw Data'!F39</f>
        <v>83933</v>
      </c>
    </row>
    <row r="675" ht="15.75" customHeight="1">
      <c r="A675" s="12" t="s">
        <v>50</v>
      </c>
      <c r="B675" s="13" t="s">
        <v>68</v>
      </c>
      <c r="C675" s="12" t="s">
        <v>65</v>
      </c>
      <c r="D675" s="14">
        <f>'Raw Data'!G39</f>
        <v>53512</v>
      </c>
    </row>
    <row r="676" ht="15.75" customHeight="1">
      <c r="A676" s="12" t="s">
        <v>50</v>
      </c>
      <c r="B676" s="13" t="s">
        <v>68</v>
      </c>
      <c r="C676" s="12" t="s">
        <v>66</v>
      </c>
      <c r="D676" s="14">
        <f>IF('Raw Data'!F39&gt;0, 'Raw Data'!G39/'Raw Data'!F39, 0)</f>
        <v>0.637556146</v>
      </c>
    </row>
    <row r="677" ht="15.75" customHeight="1">
      <c r="A677" s="12" t="s">
        <v>50</v>
      </c>
      <c r="B677" s="13" t="s">
        <v>69</v>
      </c>
      <c r="C677" s="12" t="s">
        <v>64</v>
      </c>
      <c r="D677" s="14">
        <f>'Raw Data'!H39</f>
        <v>73521</v>
      </c>
    </row>
    <row r="678" ht="15.75" customHeight="1">
      <c r="A678" s="9" t="s">
        <v>50</v>
      </c>
      <c r="B678" s="10" t="s">
        <v>69</v>
      </c>
      <c r="C678" s="9" t="s">
        <v>65</v>
      </c>
      <c r="D678" s="11">
        <f>'Raw Data'!I39</f>
        <v>76580</v>
      </c>
    </row>
    <row r="679" ht="15.75" customHeight="1">
      <c r="A679" s="9" t="s">
        <v>50</v>
      </c>
      <c r="B679" s="10" t="s">
        <v>69</v>
      </c>
      <c r="C679" s="9" t="s">
        <v>66</v>
      </c>
      <c r="D679" s="11">
        <f>IF('Raw Data'!H39&gt;0, 'Raw Data'!I39/'Raw Data'!H39, 0)</f>
        <v>1.04160716</v>
      </c>
    </row>
    <row r="680" ht="15.75" customHeight="1">
      <c r="A680" s="9" t="s">
        <v>50</v>
      </c>
      <c r="B680" s="10" t="s">
        <v>70</v>
      </c>
      <c r="C680" s="9" t="s">
        <v>64</v>
      </c>
      <c r="D680" s="11">
        <f>'Raw Data'!J39</f>
        <v>77550</v>
      </c>
    </row>
    <row r="681" ht="15.75" customHeight="1">
      <c r="A681" s="12" t="s">
        <v>50</v>
      </c>
      <c r="B681" s="13" t="s">
        <v>70</v>
      </c>
      <c r="C681" s="12" t="s">
        <v>65</v>
      </c>
      <c r="D681" s="14">
        <f>'Raw Data'!K39</f>
        <v>115191</v>
      </c>
    </row>
    <row r="682" ht="15.75" customHeight="1">
      <c r="A682" s="12" t="s">
        <v>50</v>
      </c>
      <c r="B682" s="13" t="s">
        <v>70</v>
      </c>
      <c r="C682" s="12" t="s">
        <v>66</v>
      </c>
      <c r="D682" s="14">
        <f>IF('Raw Data'!J39&gt;0, 'Raw Data'!K39/'Raw Data'!J39, 0)</f>
        <v>1.485377176</v>
      </c>
    </row>
    <row r="683" ht="15.75" customHeight="1">
      <c r="A683" s="12" t="s">
        <v>50</v>
      </c>
      <c r="B683" s="16">
        <v>2024.0</v>
      </c>
      <c r="C683" s="12" t="s">
        <v>64</v>
      </c>
      <c r="D683" s="14">
        <f>'Raw Data'!L39</f>
        <v>77660</v>
      </c>
    </row>
    <row r="684" ht="15.75" customHeight="1">
      <c r="A684" s="9" t="s">
        <v>50</v>
      </c>
      <c r="B684" s="17">
        <v>2024.0</v>
      </c>
      <c r="C684" s="9" t="s">
        <v>65</v>
      </c>
      <c r="D684" s="11">
        <f>'Raw Data'!M39</f>
        <v>143979</v>
      </c>
    </row>
    <row r="685" ht="15.75" customHeight="1">
      <c r="A685" s="9" t="s">
        <v>50</v>
      </c>
      <c r="B685" s="17">
        <v>2024.0</v>
      </c>
      <c r="C685" s="9" t="s">
        <v>66</v>
      </c>
      <c r="D685" s="11">
        <f>IF('Raw Data'!L39&gt;0, 'Raw Data'!M39/'Raw Data'!L39, 0)</f>
        <v>1.853966006</v>
      </c>
    </row>
    <row r="686" ht="15.75" customHeight="1">
      <c r="A686" s="9" t="s">
        <v>51</v>
      </c>
      <c r="B686" s="10" t="s">
        <v>63</v>
      </c>
      <c r="C686" s="9" t="s">
        <v>64</v>
      </c>
      <c r="D686" s="11">
        <f>'Raw Data'!B40</f>
        <v>17069</v>
      </c>
    </row>
    <row r="687" ht="15.75" customHeight="1">
      <c r="A687" s="12" t="s">
        <v>51</v>
      </c>
      <c r="B687" s="13" t="s">
        <v>63</v>
      </c>
      <c r="C687" s="12" t="s">
        <v>65</v>
      </c>
      <c r="D687" s="14">
        <f>'Raw Data'!C40</f>
        <v>16698</v>
      </c>
    </row>
    <row r="688" ht="15.75" customHeight="1">
      <c r="A688" s="12" t="s">
        <v>51</v>
      </c>
      <c r="B688" s="13" t="s">
        <v>63</v>
      </c>
      <c r="C688" s="12" t="s">
        <v>66</v>
      </c>
      <c r="D688" s="14">
        <f>IF('Raw Data'!B40&gt;0, 'Raw Data'!C40/'Raw Data'!B40, 0)</f>
        <v>0.9782646904</v>
      </c>
    </row>
    <row r="689" ht="15.75" customHeight="1">
      <c r="A689" s="12" t="s">
        <v>51</v>
      </c>
      <c r="B689" s="13" t="s">
        <v>67</v>
      </c>
      <c r="C689" s="12" t="s">
        <v>64</v>
      </c>
      <c r="D689" s="14">
        <f>'Raw Data'!D40</f>
        <v>10006</v>
      </c>
    </row>
    <row r="690" ht="15.75" customHeight="1">
      <c r="A690" s="9" t="s">
        <v>51</v>
      </c>
      <c r="B690" s="10" t="s">
        <v>67</v>
      </c>
      <c r="C690" s="9" t="s">
        <v>65</v>
      </c>
      <c r="D690" s="11">
        <f>'Raw Data'!E40</f>
        <v>16643</v>
      </c>
    </row>
    <row r="691" ht="15.75" customHeight="1">
      <c r="A691" s="9" t="s">
        <v>51</v>
      </c>
      <c r="B691" s="10" t="s">
        <v>67</v>
      </c>
      <c r="C691" s="9" t="s">
        <v>66</v>
      </c>
      <c r="D691" s="11">
        <f>IF('Raw Data'!D40&gt;0, 'Raw Data'!E40/'Raw Data'!D40, 0)</f>
        <v>1.663302019</v>
      </c>
    </row>
    <row r="692" ht="15.75" customHeight="1">
      <c r="A692" s="9" t="s">
        <v>51</v>
      </c>
      <c r="B692" s="10" t="s">
        <v>68</v>
      </c>
      <c r="C692" s="9" t="s">
        <v>64</v>
      </c>
      <c r="D692" s="11">
        <f>'Raw Data'!F40</f>
        <v>12252</v>
      </c>
    </row>
    <row r="693" ht="15.75" customHeight="1">
      <c r="A693" s="12" t="s">
        <v>51</v>
      </c>
      <c r="B693" s="13" t="s">
        <v>68</v>
      </c>
      <c r="C693" s="12" t="s">
        <v>65</v>
      </c>
      <c r="D693" s="14">
        <f>'Raw Data'!G40</f>
        <v>3360</v>
      </c>
    </row>
    <row r="694" ht="15.75" customHeight="1">
      <c r="A694" s="12" t="s">
        <v>51</v>
      </c>
      <c r="B694" s="13" t="s">
        <v>68</v>
      </c>
      <c r="C694" s="12" t="s">
        <v>66</v>
      </c>
      <c r="D694" s="14">
        <f>IF('Raw Data'!F40&gt;0, 'Raw Data'!G40/'Raw Data'!F40, 0)</f>
        <v>0.2742409403</v>
      </c>
    </row>
    <row r="695" ht="15.75" customHeight="1">
      <c r="A695" s="12" t="s">
        <v>51</v>
      </c>
      <c r="B695" s="13" t="s">
        <v>69</v>
      </c>
      <c r="C695" s="12" t="s">
        <v>64</v>
      </c>
      <c r="D695" s="14">
        <f>'Raw Data'!H40</f>
        <v>11464</v>
      </c>
    </row>
    <row r="696" ht="15.75" customHeight="1">
      <c r="A696" s="9" t="s">
        <v>51</v>
      </c>
      <c r="B696" s="10" t="s">
        <v>69</v>
      </c>
      <c r="C696" s="9" t="s">
        <v>65</v>
      </c>
      <c r="D696" s="11">
        <f>'Raw Data'!I40</f>
        <v>10893</v>
      </c>
    </row>
    <row r="697" ht="15.75" customHeight="1">
      <c r="A697" s="9" t="s">
        <v>51</v>
      </c>
      <c r="B697" s="10" t="s">
        <v>69</v>
      </c>
      <c r="C697" s="9" t="s">
        <v>66</v>
      </c>
      <c r="D697" s="11">
        <f>IF('Raw Data'!H40&gt;0, 'Raw Data'!I40/'Raw Data'!H40, 0)</f>
        <v>0.9501919051</v>
      </c>
    </row>
    <row r="698" ht="15.75" customHeight="1">
      <c r="A698" s="9" t="s">
        <v>51</v>
      </c>
      <c r="B698" s="10" t="s">
        <v>70</v>
      </c>
      <c r="C698" s="9" t="s">
        <v>64</v>
      </c>
      <c r="D698" s="11">
        <f>'Raw Data'!J40</f>
        <v>13596</v>
      </c>
    </row>
    <row r="699" ht="15.75" customHeight="1">
      <c r="A699" s="12" t="s">
        <v>51</v>
      </c>
      <c r="B699" s="13" t="s">
        <v>70</v>
      </c>
      <c r="C699" s="12" t="s">
        <v>65</v>
      </c>
      <c r="D699" s="14">
        <f>'Raw Data'!K40</f>
        <v>12393</v>
      </c>
    </row>
    <row r="700" ht="15.75" customHeight="1">
      <c r="A700" s="12" t="s">
        <v>51</v>
      </c>
      <c r="B700" s="13" t="s">
        <v>70</v>
      </c>
      <c r="C700" s="12" t="s">
        <v>66</v>
      </c>
      <c r="D700" s="14">
        <f>IF('Raw Data'!J40&gt;0, 'Raw Data'!K40/'Raw Data'!J40, 0)</f>
        <v>0.9115180936</v>
      </c>
    </row>
    <row r="701" ht="15.75" customHeight="1">
      <c r="A701" s="12" t="s">
        <v>51</v>
      </c>
      <c r="B701" s="16">
        <v>2024.0</v>
      </c>
      <c r="C701" s="12" t="s">
        <v>64</v>
      </c>
      <c r="D701" s="14">
        <f>'Raw Data'!L40</f>
        <v>11426</v>
      </c>
    </row>
    <row r="702" ht="15.75" customHeight="1">
      <c r="A702" s="9" t="s">
        <v>51</v>
      </c>
      <c r="B702" s="17">
        <v>2024.0</v>
      </c>
      <c r="C702" s="9" t="s">
        <v>65</v>
      </c>
      <c r="D702" s="11">
        <f>'Raw Data'!M40</f>
        <v>13176</v>
      </c>
    </row>
    <row r="703" ht="15.75" customHeight="1">
      <c r="A703" s="9" t="s">
        <v>51</v>
      </c>
      <c r="B703" s="17">
        <v>2024.0</v>
      </c>
      <c r="C703" s="9" t="s">
        <v>66</v>
      </c>
      <c r="D703" s="11">
        <f>IF('Raw Data'!L40&gt;0, 'Raw Data'!M40/'Raw Data'!L40, 0)</f>
        <v>1.153159461</v>
      </c>
    </row>
    <row r="704" ht="15.75" customHeight="1">
      <c r="A704" s="9" t="s">
        <v>52</v>
      </c>
      <c r="B704" s="10" t="s">
        <v>63</v>
      </c>
      <c r="C704" s="9" t="s">
        <v>64</v>
      </c>
      <c r="D704" s="11">
        <f>'Raw Data'!B41</f>
        <v>5311</v>
      </c>
    </row>
    <row r="705" ht="15.75" customHeight="1">
      <c r="A705" s="12" t="s">
        <v>52</v>
      </c>
      <c r="B705" s="13" t="s">
        <v>63</v>
      </c>
      <c r="C705" s="12" t="s">
        <v>65</v>
      </c>
      <c r="D705" s="14">
        <f>'Raw Data'!C41</f>
        <v>4471</v>
      </c>
    </row>
    <row r="706" ht="15.75" customHeight="1">
      <c r="A706" s="12" t="s">
        <v>52</v>
      </c>
      <c r="B706" s="13" t="s">
        <v>63</v>
      </c>
      <c r="C706" s="12" t="s">
        <v>66</v>
      </c>
      <c r="D706" s="14">
        <f>IF('Raw Data'!B41&gt;0, 'Raw Data'!C41/'Raw Data'!B41, 0)</f>
        <v>0.8418376953</v>
      </c>
    </row>
    <row r="707" ht="15.75" customHeight="1">
      <c r="A707" s="12" t="s">
        <v>52</v>
      </c>
      <c r="B707" s="13" t="s">
        <v>67</v>
      </c>
      <c r="C707" s="12" t="s">
        <v>64</v>
      </c>
      <c r="D707" s="14">
        <f>'Raw Data'!D41</f>
        <v>5666</v>
      </c>
    </row>
    <row r="708" ht="15.75" customHeight="1">
      <c r="A708" s="9" t="s">
        <v>52</v>
      </c>
      <c r="B708" s="10" t="s">
        <v>67</v>
      </c>
      <c r="C708" s="9" t="s">
        <v>65</v>
      </c>
      <c r="D708" s="11">
        <f>'Raw Data'!E41</f>
        <v>8222</v>
      </c>
    </row>
    <row r="709" ht="15.75" customHeight="1">
      <c r="A709" s="9" t="s">
        <v>52</v>
      </c>
      <c r="B709" s="10" t="s">
        <v>67</v>
      </c>
      <c r="C709" s="9" t="s">
        <v>66</v>
      </c>
      <c r="D709" s="11">
        <f>IF('Raw Data'!D41&gt;0, 'Raw Data'!E41/'Raw Data'!D41, 0)</f>
        <v>1.451111896</v>
      </c>
    </row>
    <row r="710" ht="15.75" customHeight="1">
      <c r="A710" s="9" t="s">
        <v>52</v>
      </c>
      <c r="B710" s="10" t="s">
        <v>68</v>
      </c>
      <c r="C710" s="9" t="s">
        <v>64</v>
      </c>
      <c r="D710" s="11">
        <f>'Raw Data'!F41</f>
        <v>4251</v>
      </c>
    </row>
    <row r="711" ht="15.75" customHeight="1">
      <c r="A711" s="12" t="s">
        <v>52</v>
      </c>
      <c r="B711" s="13" t="s">
        <v>68</v>
      </c>
      <c r="C711" s="12" t="s">
        <v>65</v>
      </c>
      <c r="D711" s="14">
        <f>'Raw Data'!G41</f>
        <v>958</v>
      </c>
    </row>
    <row r="712" ht="15.75" customHeight="1">
      <c r="A712" s="12" t="s">
        <v>52</v>
      </c>
      <c r="B712" s="13" t="s">
        <v>68</v>
      </c>
      <c r="C712" s="12" t="s">
        <v>66</v>
      </c>
      <c r="D712" s="14">
        <f>IF('Raw Data'!F41&gt;0, 'Raw Data'!G41/'Raw Data'!F41, 0)</f>
        <v>0.2253587391</v>
      </c>
    </row>
    <row r="713" ht="15.75" customHeight="1">
      <c r="A713" s="12" t="s">
        <v>52</v>
      </c>
      <c r="B713" s="13" t="s">
        <v>69</v>
      </c>
      <c r="C713" s="12" t="s">
        <v>64</v>
      </c>
      <c r="D713" s="14">
        <f>'Raw Data'!H41</f>
        <v>6673</v>
      </c>
    </row>
    <row r="714" ht="15.75" customHeight="1">
      <c r="A714" s="9" t="s">
        <v>52</v>
      </c>
      <c r="B714" s="10" t="s">
        <v>69</v>
      </c>
      <c r="C714" s="9" t="s">
        <v>65</v>
      </c>
      <c r="D714" s="11">
        <f>'Raw Data'!I41</f>
        <v>8257</v>
      </c>
    </row>
    <row r="715" ht="15.75" customHeight="1">
      <c r="A715" s="9" t="s">
        <v>52</v>
      </c>
      <c r="B715" s="10" t="s">
        <v>69</v>
      </c>
      <c r="C715" s="9" t="s">
        <v>66</v>
      </c>
      <c r="D715" s="11">
        <f>IF('Raw Data'!H41&gt;0, 'Raw Data'!I41/'Raw Data'!H41, 0)</f>
        <v>1.237374494</v>
      </c>
    </row>
    <row r="716" ht="15.75" customHeight="1">
      <c r="A716" s="9" t="s">
        <v>52</v>
      </c>
      <c r="B716" s="10" t="s">
        <v>70</v>
      </c>
      <c r="C716" s="9" t="s">
        <v>64</v>
      </c>
      <c r="D716" s="11">
        <f>'Raw Data'!J41</f>
        <v>5734</v>
      </c>
    </row>
    <row r="717" ht="15.75" customHeight="1">
      <c r="A717" s="12" t="s">
        <v>52</v>
      </c>
      <c r="B717" s="13" t="s">
        <v>70</v>
      </c>
      <c r="C717" s="12" t="s">
        <v>65</v>
      </c>
      <c r="D717" s="14">
        <f>'Raw Data'!K41</f>
        <v>5879</v>
      </c>
    </row>
    <row r="718" ht="15.75" customHeight="1">
      <c r="A718" s="12" t="s">
        <v>52</v>
      </c>
      <c r="B718" s="13" t="s">
        <v>70</v>
      </c>
      <c r="C718" s="12" t="s">
        <v>66</v>
      </c>
      <c r="D718" s="14">
        <f>IF('Raw Data'!J41&gt;0, 'Raw Data'!K41/'Raw Data'!J41, 0)</f>
        <v>1.025287757</v>
      </c>
    </row>
    <row r="719" ht="15.75" customHeight="1">
      <c r="A719" s="12" t="s">
        <v>52</v>
      </c>
      <c r="B719" s="16">
        <v>2024.0</v>
      </c>
      <c r="C719" s="12" t="s">
        <v>64</v>
      </c>
      <c r="D719" s="14">
        <f>'Raw Data'!L41</f>
        <v>5063</v>
      </c>
    </row>
    <row r="720" ht="15.75" customHeight="1">
      <c r="A720" s="9" t="s">
        <v>52</v>
      </c>
      <c r="B720" s="17">
        <v>2024.0</v>
      </c>
      <c r="C720" s="9" t="s">
        <v>65</v>
      </c>
      <c r="D720" s="11">
        <f>'Raw Data'!M41</f>
        <v>14658</v>
      </c>
    </row>
    <row r="721" ht="15.75" customHeight="1">
      <c r="A721" s="9" t="s">
        <v>52</v>
      </c>
      <c r="B721" s="17">
        <v>2024.0</v>
      </c>
      <c r="C721" s="9" t="s">
        <v>66</v>
      </c>
      <c r="D721" s="11">
        <f>IF('Raw Data'!L41&gt;0, 'Raw Data'!M41/'Raw Data'!L41, 0)</f>
        <v>2.895121469</v>
      </c>
    </row>
    <row r="722" ht="15.75" customHeight="1">
      <c r="A722" s="9" t="s">
        <v>53</v>
      </c>
      <c r="B722" s="10" t="s">
        <v>63</v>
      </c>
      <c r="C722" s="9" t="s">
        <v>64</v>
      </c>
      <c r="D722" s="11">
        <f>'Raw Data'!B42</f>
        <v>24436</v>
      </c>
    </row>
    <row r="723" ht="15.75" customHeight="1">
      <c r="A723" s="12" t="s">
        <v>53</v>
      </c>
      <c r="B723" s="13" t="s">
        <v>63</v>
      </c>
      <c r="C723" s="12" t="s">
        <v>65</v>
      </c>
      <c r="D723" s="14">
        <f>'Raw Data'!C42</f>
        <v>11943</v>
      </c>
    </row>
    <row r="724" ht="15.75" customHeight="1">
      <c r="A724" s="12" t="s">
        <v>53</v>
      </c>
      <c r="B724" s="13" t="s">
        <v>63</v>
      </c>
      <c r="C724" s="12" t="s">
        <v>66</v>
      </c>
      <c r="D724" s="14">
        <f>IF('Raw Data'!B42&gt;0, 'Raw Data'!C42/'Raw Data'!B42, 0)</f>
        <v>0.4887461123</v>
      </c>
    </row>
    <row r="725" ht="15.75" customHeight="1">
      <c r="A725" s="12" t="s">
        <v>53</v>
      </c>
      <c r="B725" s="13" t="s">
        <v>67</v>
      </c>
      <c r="C725" s="12" t="s">
        <v>64</v>
      </c>
      <c r="D725" s="14">
        <f>'Raw Data'!D42</f>
        <v>18591</v>
      </c>
    </row>
    <row r="726" ht="15.75" customHeight="1">
      <c r="A726" s="9" t="s">
        <v>53</v>
      </c>
      <c r="B726" s="10" t="s">
        <v>67</v>
      </c>
      <c r="C726" s="9" t="s">
        <v>65</v>
      </c>
      <c r="D726" s="11">
        <f>'Raw Data'!E42</f>
        <v>41601</v>
      </c>
    </row>
    <row r="727" ht="15.75" customHeight="1">
      <c r="A727" s="9" t="s">
        <v>53</v>
      </c>
      <c r="B727" s="10" t="s">
        <v>67</v>
      </c>
      <c r="C727" s="9" t="s">
        <v>66</v>
      </c>
      <c r="D727" s="11">
        <f>IF('Raw Data'!D42&gt;0, 'Raw Data'!E42/'Raw Data'!D42, 0)</f>
        <v>2.237695659</v>
      </c>
    </row>
    <row r="728" ht="15.75" customHeight="1">
      <c r="A728" s="9" t="s">
        <v>53</v>
      </c>
      <c r="B728" s="10" t="s">
        <v>68</v>
      </c>
      <c r="C728" s="9" t="s">
        <v>64</v>
      </c>
      <c r="D728" s="11">
        <f>'Raw Data'!F42</f>
        <v>25420</v>
      </c>
    </row>
    <row r="729" ht="15.75" customHeight="1">
      <c r="A729" s="12" t="s">
        <v>53</v>
      </c>
      <c r="B729" s="13" t="s">
        <v>68</v>
      </c>
      <c r="C729" s="12" t="s">
        <v>65</v>
      </c>
      <c r="D729" s="14">
        <f>'Raw Data'!G42</f>
        <v>30352</v>
      </c>
    </row>
    <row r="730" ht="15.75" customHeight="1">
      <c r="A730" s="12" t="s">
        <v>53</v>
      </c>
      <c r="B730" s="13" t="s">
        <v>68</v>
      </c>
      <c r="C730" s="12" t="s">
        <v>66</v>
      </c>
      <c r="D730" s="14">
        <f>IF('Raw Data'!F42&gt;0, 'Raw Data'!G42/'Raw Data'!F42, 0)</f>
        <v>1.194020456</v>
      </c>
    </row>
    <row r="731" ht="15.75" customHeight="1">
      <c r="A731" s="12" t="s">
        <v>53</v>
      </c>
      <c r="B731" s="13" t="s">
        <v>69</v>
      </c>
      <c r="C731" s="12" t="s">
        <v>64</v>
      </c>
      <c r="D731" s="14">
        <f>'Raw Data'!H42</f>
        <v>23640</v>
      </c>
    </row>
    <row r="732" ht="15.75" customHeight="1">
      <c r="A732" s="9" t="s">
        <v>53</v>
      </c>
      <c r="B732" s="10" t="s">
        <v>69</v>
      </c>
      <c r="C732" s="9" t="s">
        <v>65</v>
      </c>
      <c r="D732" s="11">
        <f>'Raw Data'!I42</f>
        <v>20668</v>
      </c>
    </row>
    <row r="733" ht="15.75" customHeight="1">
      <c r="A733" s="9" t="s">
        <v>53</v>
      </c>
      <c r="B733" s="10" t="s">
        <v>69</v>
      </c>
      <c r="C733" s="9" t="s">
        <v>66</v>
      </c>
      <c r="D733" s="11">
        <f>IF('Raw Data'!H42&gt;0, 'Raw Data'!I42/'Raw Data'!H42, 0)</f>
        <v>0.8742808799</v>
      </c>
    </row>
    <row r="734" ht="15.75" customHeight="1">
      <c r="A734" s="9" t="s">
        <v>53</v>
      </c>
      <c r="B734" s="10" t="s">
        <v>70</v>
      </c>
      <c r="C734" s="9" t="s">
        <v>64</v>
      </c>
      <c r="D734" s="11">
        <f>'Raw Data'!J42</f>
        <v>26617</v>
      </c>
    </row>
    <row r="735" ht="15.75" customHeight="1">
      <c r="A735" s="12" t="s">
        <v>53</v>
      </c>
      <c r="B735" s="13" t="s">
        <v>70</v>
      </c>
      <c r="C735" s="12" t="s">
        <v>65</v>
      </c>
      <c r="D735" s="14">
        <f>'Raw Data'!K42</f>
        <v>33808</v>
      </c>
    </row>
    <row r="736" ht="15.75" customHeight="1">
      <c r="A736" s="12" t="s">
        <v>53</v>
      </c>
      <c r="B736" s="13" t="s">
        <v>70</v>
      </c>
      <c r="C736" s="12" t="s">
        <v>66</v>
      </c>
      <c r="D736" s="14">
        <f>IF('Raw Data'!J42&gt;0, 'Raw Data'!K42/'Raw Data'!J42, 0)</f>
        <v>1.270165684</v>
      </c>
    </row>
    <row r="737" ht="15.75" customHeight="1">
      <c r="A737" s="12" t="s">
        <v>53</v>
      </c>
      <c r="B737" s="16">
        <v>2024.0</v>
      </c>
      <c r="C737" s="12" t="s">
        <v>64</v>
      </c>
      <c r="D737" s="14">
        <f>'Raw Data'!L42</f>
        <v>37588</v>
      </c>
    </row>
    <row r="738" ht="15.75" customHeight="1">
      <c r="A738" s="9" t="s">
        <v>53</v>
      </c>
      <c r="B738" s="17">
        <v>2024.0</v>
      </c>
      <c r="C738" s="9" t="s">
        <v>65</v>
      </c>
      <c r="D738" s="11">
        <f>'Raw Data'!M42</f>
        <v>55426</v>
      </c>
    </row>
    <row r="739" ht="15.75" customHeight="1">
      <c r="A739" s="9" t="s">
        <v>53</v>
      </c>
      <c r="B739" s="17">
        <v>2024.0</v>
      </c>
      <c r="C739" s="9" t="s">
        <v>66</v>
      </c>
      <c r="D739" s="11">
        <f>IF('Raw Data'!L42&gt;0, 'Raw Data'!M42/'Raw Data'!L42, 0)</f>
        <v>1.474566351</v>
      </c>
    </row>
    <row r="740" ht="15.75" customHeight="1">
      <c r="A740" s="9" t="s">
        <v>54</v>
      </c>
      <c r="B740" s="10" t="s">
        <v>63</v>
      </c>
      <c r="C740" s="9" t="s">
        <v>64</v>
      </c>
      <c r="D740" s="11">
        <f>'Raw Data'!B43</f>
        <v>106549</v>
      </c>
    </row>
    <row r="741" ht="15.75" customHeight="1">
      <c r="A741" s="12" t="s">
        <v>54</v>
      </c>
      <c r="B741" s="13" t="s">
        <v>63</v>
      </c>
      <c r="C741" s="12" t="s">
        <v>65</v>
      </c>
      <c r="D741" s="14">
        <f>'Raw Data'!C43</f>
        <v>426499</v>
      </c>
    </row>
    <row r="742" ht="15.75" customHeight="1">
      <c r="A742" s="12" t="s">
        <v>54</v>
      </c>
      <c r="B742" s="13" t="s">
        <v>63</v>
      </c>
      <c r="C742" s="12" t="s">
        <v>66</v>
      </c>
      <c r="D742" s="14">
        <f>IF('Raw Data'!B43&gt;0, 'Raw Data'!C43/'Raw Data'!B43, 0)</f>
        <v>4.002843762</v>
      </c>
    </row>
    <row r="743" ht="15.75" customHeight="1">
      <c r="A743" s="12" t="s">
        <v>54</v>
      </c>
      <c r="B743" s="13" t="s">
        <v>67</v>
      </c>
      <c r="C743" s="12" t="s">
        <v>64</v>
      </c>
      <c r="D743" s="14">
        <f>'Raw Data'!D43</f>
        <v>104850</v>
      </c>
    </row>
    <row r="744" ht="15.75" customHeight="1">
      <c r="A744" s="9" t="s">
        <v>54</v>
      </c>
      <c r="B744" s="10" t="s">
        <v>67</v>
      </c>
      <c r="C744" s="9" t="s">
        <v>65</v>
      </c>
      <c r="D744" s="11">
        <f>'Raw Data'!E43</f>
        <v>489056</v>
      </c>
    </row>
    <row r="745" ht="15.75" customHeight="1">
      <c r="A745" s="9" t="s">
        <v>54</v>
      </c>
      <c r="B745" s="10" t="s">
        <v>67</v>
      </c>
      <c r="C745" s="9" t="s">
        <v>66</v>
      </c>
      <c r="D745" s="11">
        <f>IF('Raw Data'!D43&gt;0, 'Raw Data'!E43/'Raw Data'!D43, 0)</f>
        <v>4.664339533</v>
      </c>
    </row>
    <row r="746" ht="15.75" customHeight="1">
      <c r="A746" s="9" t="s">
        <v>54</v>
      </c>
      <c r="B746" s="10" t="s">
        <v>68</v>
      </c>
      <c r="C746" s="9" t="s">
        <v>64</v>
      </c>
      <c r="D746" s="11">
        <f>'Raw Data'!F43</f>
        <v>107090</v>
      </c>
    </row>
    <row r="747" ht="15.75" customHeight="1">
      <c r="A747" s="12" t="s">
        <v>54</v>
      </c>
      <c r="B747" s="13" t="s">
        <v>68</v>
      </c>
      <c r="C747" s="12" t="s">
        <v>65</v>
      </c>
      <c r="D747" s="14">
        <f>'Raw Data'!G43</f>
        <v>407913</v>
      </c>
    </row>
    <row r="748" ht="15.75" customHeight="1">
      <c r="A748" s="12" t="s">
        <v>54</v>
      </c>
      <c r="B748" s="13" t="s">
        <v>68</v>
      </c>
      <c r="C748" s="12" t="s">
        <v>66</v>
      </c>
      <c r="D748" s="14">
        <f>IF('Raw Data'!F43&gt;0, 'Raw Data'!G43/'Raw Data'!F43, 0)</f>
        <v>3.80906714</v>
      </c>
    </row>
    <row r="749" ht="15.75" customHeight="1">
      <c r="A749" s="12" t="s">
        <v>54</v>
      </c>
      <c r="B749" s="13" t="s">
        <v>69</v>
      </c>
      <c r="C749" s="12" t="s">
        <v>64</v>
      </c>
      <c r="D749" s="14">
        <f>'Raw Data'!H43</f>
        <v>95140</v>
      </c>
    </row>
    <row r="750" ht="15.75" customHeight="1">
      <c r="A750" s="9" t="s">
        <v>54</v>
      </c>
      <c r="B750" s="10" t="s">
        <v>69</v>
      </c>
      <c r="C750" s="9" t="s">
        <v>65</v>
      </c>
      <c r="D750" s="11">
        <f>'Raw Data'!I43</f>
        <v>339990</v>
      </c>
    </row>
    <row r="751" ht="15.75" customHeight="1">
      <c r="A751" s="9" t="s">
        <v>54</v>
      </c>
      <c r="B751" s="10" t="s">
        <v>69</v>
      </c>
      <c r="C751" s="9" t="s">
        <v>66</v>
      </c>
      <c r="D751" s="11">
        <f>IF('Raw Data'!H43&gt;0, 'Raw Data'!I43/'Raw Data'!H43, 0)</f>
        <v>3.573575783</v>
      </c>
    </row>
    <row r="752" ht="15.75" customHeight="1">
      <c r="A752" s="9" t="s">
        <v>54</v>
      </c>
      <c r="B752" s="10" t="s">
        <v>70</v>
      </c>
      <c r="C752" s="9" t="s">
        <v>64</v>
      </c>
      <c r="D752" s="11">
        <f>'Raw Data'!J43</f>
        <v>125065</v>
      </c>
    </row>
    <row r="753" ht="15.75" customHeight="1">
      <c r="A753" s="12" t="s">
        <v>54</v>
      </c>
      <c r="B753" s="13" t="s">
        <v>70</v>
      </c>
      <c r="C753" s="12" t="s">
        <v>65</v>
      </c>
      <c r="D753" s="14">
        <f>'Raw Data'!K43</f>
        <v>448011</v>
      </c>
    </row>
    <row r="754" ht="15.75" customHeight="1">
      <c r="A754" s="12" t="s">
        <v>54</v>
      </c>
      <c r="B754" s="13" t="s">
        <v>70</v>
      </c>
      <c r="C754" s="12" t="s">
        <v>66</v>
      </c>
      <c r="D754" s="14">
        <f>IF('Raw Data'!J43&gt;0, 'Raw Data'!K43/'Raw Data'!J43, 0)</f>
        <v>3.582225243</v>
      </c>
    </row>
    <row r="755" ht="15.75" customHeight="1">
      <c r="A755" s="12" t="s">
        <v>54</v>
      </c>
      <c r="B755" s="16">
        <v>2024.0</v>
      </c>
      <c r="C755" s="12" t="s">
        <v>64</v>
      </c>
      <c r="D755" s="14">
        <f>'Raw Data'!L43</f>
        <v>124976</v>
      </c>
    </row>
    <row r="756" ht="15.75" customHeight="1">
      <c r="A756" s="9" t="s">
        <v>54</v>
      </c>
      <c r="B756" s="17">
        <v>2024.0</v>
      </c>
      <c r="C756" s="9" t="s">
        <v>65</v>
      </c>
      <c r="D756" s="11">
        <f>'Raw Data'!M43</f>
        <v>423156</v>
      </c>
    </row>
    <row r="757" ht="15.75" customHeight="1">
      <c r="A757" s="9" t="s">
        <v>54</v>
      </c>
      <c r="B757" s="17">
        <v>2024.0</v>
      </c>
      <c r="C757" s="9" t="s">
        <v>66</v>
      </c>
      <c r="D757" s="11">
        <f>IF('Raw Data'!L43&gt;0, 'Raw Data'!M43/'Raw Data'!L43, 0)</f>
        <v>3.385898092</v>
      </c>
    </row>
    <row r="758" ht="15.75" customHeight="1">
      <c r="A758" s="9" t="s">
        <v>55</v>
      </c>
      <c r="B758" s="10" t="s">
        <v>63</v>
      </c>
      <c r="C758" s="9" t="s">
        <v>64</v>
      </c>
      <c r="D758" s="11">
        <f>'Raw Data'!B44</f>
        <v>8931</v>
      </c>
    </row>
    <row r="759" ht="15.75" customHeight="1">
      <c r="A759" s="12" t="s">
        <v>55</v>
      </c>
      <c r="B759" s="13" t="s">
        <v>63</v>
      </c>
      <c r="C759" s="12" t="s">
        <v>65</v>
      </c>
      <c r="D759" s="14">
        <f>'Raw Data'!C44</f>
        <v>5689</v>
      </c>
    </row>
    <row r="760" ht="15.75" customHeight="1">
      <c r="A760" s="12" t="s">
        <v>55</v>
      </c>
      <c r="B760" s="13" t="s">
        <v>63</v>
      </c>
      <c r="C760" s="12" t="s">
        <v>66</v>
      </c>
      <c r="D760" s="14">
        <f>IF('Raw Data'!B44&gt;0, 'Raw Data'!C44/'Raw Data'!B44, 0)</f>
        <v>0.6369947374</v>
      </c>
    </row>
    <row r="761" ht="15.75" customHeight="1">
      <c r="A761" s="12" t="s">
        <v>55</v>
      </c>
      <c r="B761" s="13" t="s">
        <v>67</v>
      </c>
      <c r="C761" s="12" t="s">
        <v>64</v>
      </c>
      <c r="D761" s="14">
        <f>'Raw Data'!D44</f>
        <v>2475</v>
      </c>
    </row>
    <row r="762" ht="15.75" customHeight="1">
      <c r="A762" s="9" t="s">
        <v>55</v>
      </c>
      <c r="B762" s="10" t="s">
        <v>67</v>
      </c>
      <c r="C762" s="9" t="s">
        <v>65</v>
      </c>
      <c r="D762" s="11">
        <f>'Raw Data'!E44</f>
        <v>2582</v>
      </c>
    </row>
    <row r="763" ht="15.75" customHeight="1">
      <c r="A763" s="9" t="s">
        <v>55</v>
      </c>
      <c r="B763" s="10" t="s">
        <v>67</v>
      </c>
      <c r="C763" s="9" t="s">
        <v>66</v>
      </c>
      <c r="D763" s="11">
        <f>IF('Raw Data'!D44&gt;0, 'Raw Data'!E44/'Raw Data'!D44, 0)</f>
        <v>1.043232323</v>
      </c>
    </row>
    <row r="764" ht="15.75" customHeight="1">
      <c r="A764" s="9" t="s">
        <v>55</v>
      </c>
      <c r="B764" s="10" t="s">
        <v>68</v>
      </c>
      <c r="C764" s="9" t="s">
        <v>64</v>
      </c>
      <c r="D764" s="11">
        <f>'Raw Data'!F44</f>
        <v>1295</v>
      </c>
    </row>
    <row r="765" ht="15.75" customHeight="1">
      <c r="A765" s="12" t="s">
        <v>55</v>
      </c>
      <c r="B765" s="13" t="s">
        <v>68</v>
      </c>
      <c r="C765" s="12" t="s">
        <v>65</v>
      </c>
      <c r="D765" s="14">
        <f>'Raw Data'!G44</f>
        <v>1154</v>
      </c>
    </row>
    <row r="766" ht="15.75" customHeight="1">
      <c r="A766" s="12" t="s">
        <v>55</v>
      </c>
      <c r="B766" s="13" t="s">
        <v>68</v>
      </c>
      <c r="C766" s="12" t="s">
        <v>66</v>
      </c>
      <c r="D766" s="14">
        <f>IF('Raw Data'!F44&gt;0, 'Raw Data'!G44/'Raw Data'!F44, 0)</f>
        <v>0.8911196911</v>
      </c>
    </row>
    <row r="767" ht="15.75" customHeight="1">
      <c r="A767" s="12" t="s">
        <v>55</v>
      </c>
      <c r="B767" s="13" t="s">
        <v>69</v>
      </c>
      <c r="C767" s="12" t="s">
        <v>64</v>
      </c>
      <c r="D767" s="14">
        <f>'Raw Data'!H44</f>
        <v>3408</v>
      </c>
    </row>
    <row r="768" ht="15.75" customHeight="1">
      <c r="A768" s="9" t="s">
        <v>55</v>
      </c>
      <c r="B768" s="10" t="s">
        <v>69</v>
      </c>
      <c r="C768" s="9" t="s">
        <v>65</v>
      </c>
      <c r="D768" s="11">
        <f>'Raw Data'!I44</f>
        <v>452</v>
      </c>
    </row>
    <row r="769" ht="15.75" customHeight="1">
      <c r="A769" s="9" t="s">
        <v>55</v>
      </c>
      <c r="B769" s="10" t="s">
        <v>69</v>
      </c>
      <c r="C769" s="9" t="s">
        <v>66</v>
      </c>
      <c r="D769" s="11">
        <f>IF('Raw Data'!H44&gt;0, 'Raw Data'!I44/'Raw Data'!H44, 0)</f>
        <v>0.132629108</v>
      </c>
    </row>
    <row r="770" ht="15.75" customHeight="1">
      <c r="A770" s="9" t="s">
        <v>55</v>
      </c>
      <c r="B770" s="10" t="s">
        <v>70</v>
      </c>
      <c r="C770" s="9" t="s">
        <v>64</v>
      </c>
      <c r="D770" s="11">
        <f>'Raw Data'!J44</f>
        <v>1750</v>
      </c>
    </row>
    <row r="771" ht="15.75" customHeight="1">
      <c r="A771" s="12" t="s">
        <v>55</v>
      </c>
      <c r="B771" s="13" t="s">
        <v>70</v>
      </c>
      <c r="C771" s="12" t="s">
        <v>65</v>
      </c>
      <c r="D771" s="14">
        <f>'Raw Data'!K44</f>
        <v>1331</v>
      </c>
    </row>
    <row r="772" ht="15.75" customHeight="1">
      <c r="A772" s="12" t="s">
        <v>55</v>
      </c>
      <c r="B772" s="13" t="s">
        <v>70</v>
      </c>
      <c r="C772" s="12" t="s">
        <v>66</v>
      </c>
      <c r="D772" s="14">
        <f>IF('Raw Data'!J44&gt;0, 'Raw Data'!K44/'Raw Data'!J44, 0)</f>
        <v>0.7605714286</v>
      </c>
    </row>
    <row r="773" ht="15.75" customHeight="1">
      <c r="A773" s="12" t="s">
        <v>55</v>
      </c>
      <c r="B773" s="16">
        <v>2024.0</v>
      </c>
      <c r="C773" s="12" t="s">
        <v>64</v>
      </c>
      <c r="D773" s="14">
        <f>'Raw Data'!L44</f>
        <v>3704</v>
      </c>
    </row>
    <row r="774" ht="15.75" customHeight="1">
      <c r="A774" s="9" t="s">
        <v>55</v>
      </c>
      <c r="B774" s="17">
        <v>2024.0</v>
      </c>
      <c r="C774" s="9" t="s">
        <v>65</v>
      </c>
      <c r="D774" s="11">
        <f>'Raw Data'!M44</f>
        <v>4217</v>
      </c>
    </row>
    <row r="775" ht="15.75" customHeight="1">
      <c r="A775" s="9" t="s">
        <v>55</v>
      </c>
      <c r="B775" s="17">
        <v>2024.0</v>
      </c>
      <c r="C775" s="9" t="s">
        <v>66</v>
      </c>
      <c r="D775" s="11">
        <f>IF('Raw Data'!L44&gt;0, 'Raw Data'!M44/'Raw Data'!L44, 0)</f>
        <v>1.13849892</v>
      </c>
    </row>
    <row r="776" ht="15.75" customHeight="1">
      <c r="A776" s="9" t="s">
        <v>56</v>
      </c>
      <c r="B776" s="10" t="s">
        <v>63</v>
      </c>
      <c r="C776" s="9" t="s">
        <v>64</v>
      </c>
      <c r="D776" s="11">
        <f>'Raw Data'!B45</f>
        <v>100081</v>
      </c>
    </row>
    <row r="777" ht="15.75" customHeight="1">
      <c r="A777" s="12" t="s">
        <v>56</v>
      </c>
      <c r="B777" s="13" t="s">
        <v>63</v>
      </c>
      <c r="C777" s="12" t="s">
        <v>65</v>
      </c>
      <c r="D777" s="14">
        <f>'Raw Data'!C45</f>
        <v>324366</v>
      </c>
    </row>
    <row r="778" ht="15.75" customHeight="1">
      <c r="A778" s="12" t="s">
        <v>56</v>
      </c>
      <c r="B778" s="13" t="s">
        <v>63</v>
      </c>
      <c r="C778" s="12" t="s">
        <v>66</v>
      </c>
      <c r="D778" s="14">
        <f>IF('Raw Data'!B45&gt;0, 'Raw Data'!C45/'Raw Data'!B45, 0)</f>
        <v>3.241034762</v>
      </c>
    </row>
    <row r="779" ht="15.75" customHeight="1">
      <c r="A779" s="12" t="s">
        <v>56</v>
      </c>
      <c r="B779" s="13" t="s">
        <v>67</v>
      </c>
      <c r="C779" s="12" t="s">
        <v>64</v>
      </c>
      <c r="D779" s="14">
        <f>'Raw Data'!D45</f>
        <v>106999</v>
      </c>
    </row>
    <row r="780" ht="15.75" customHeight="1">
      <c r="A780" s="9" t="s">
        <v>56</v>
      </c>
      <c r="B780" s="10" t="s">
        <v>67</v>
      </c>
      <c r="C780" s="9" t="s">
        <v>65</v>
      </c>
      <c r="D780" s="11">
        <f>'Raw Data'!E45</f>
        <v>456574</v>
      </c>
    </row>
    <row r="781" ht="15.75" customHeight="1">
      <c r="A781" s="9" t="s">
        <v>56</v>
      </c>
      <c r="B781" s="10" t="s">
        <v>67</v>
      </c>
      <c r="C781" s="9" t="s">
        <v>66</v>
      </c>
      <c r="D781" s="11">
        <f>IF('Raw Data'!D45&gt;0, 'Raw Data'!E45/'Raw Data'!D45, 0)</f>
        <v>4.267086608</v>
      </c>
    </row>
    <row r="782" ht="15.75" customHeight="1">
      <c r="A782" s="9" t="s">
        <v>56</v>
      </c>
      <c r="B782" s="10" t="s">
        <v>68</v>
      </c>
      <c r="C782" s="9" t="s">
        <v>64</v>
      </c>
      <c r="D782" s="11">
        <f>'Raw Data'!F45</f>
        <v>104645</v>
      </c>
    </row>
    <row r="783" ht="15.75" customHeight="1">
      <c r="A783" s="12" t="s">
        <v>56</v>
      </c>
      <c r="B783" s="13" t="s">
        <v>68</v>
      </c>
      <c r="C783" s="12" t="s">
        <v>65</v>
      </c>
      <c r="D783" s="14">
        <f>'Raw Data'!G45</f>
        <v>385400</v>
      </c>
    </row>
    <row r="784" ht="15.75" customHeight="1">
      <c r="A784" s="12" t="s">
        <v>56</v>
      </c>
      <c r="B784" s="13" t="s">
        <v>68</v>
      </c>
      <c r="C784" s="12" t="s">
        <v>66</v>
      </c>
      <c r="D784" s="14">
        <f>IF('Raw Data'!F45&gt;0, 'Raw Data'!G45/'Raw Data'!F45, 0)</f>
        <v>3.682927995</v>
      </c>
    </row>
    <row r="785" ht="15.75" customHeight="1">
      <c r="A785" s="12" t="s">
        <v>56</v>
      </c>
      <c r="B785" s="13" t="s">
        <v>69</v>
      </c>
      <c r="C785" s="12" t="s">
        <v>64</v>
      </c>
      <c r="D785" s="14">
        <f>'Raw Data'!H45</f>
        <v>102820</v>
      </c>
    </row>
    <row r="786" ht="15.75" customHeight="1">
      <c r="A786" s="9" t="s">
        <v>56</v>
      </c>
      <c r="B786" s="10" t="s">
        <v>69</v>
      </c>
      <c r="C786" s="9" t="s">
        <v>65</v>
      </c>
      <c r="D786" s="11">
        <f>'Raw Data'!I45</f>
        <v>359870</v>
      </c>
    </row>
    <row r="787" ht="15.75" customHeight="1">
      <c r="A787" s="9" t="s">
        <v>56</v>
      </c>
      <c r="B787" s="10" t="s">
        <v>69</v>
      </c>
      <c r="C787" s="9" t="s">
        <v>66</v>
      </c>
      <c r="D787" s="11">
        <f>IF('Raw Data'!H45&gt;0, 'Raw Data'!I45/'Raw Data'!H45, 0)</f>
        <v>3.5</v>
      </c>
    </row>
    <row r="788" ht="15.75" customHeight="1">
      <c r="A788" s="9" t="s">
        <v>56</v>
      </c>
      <c r="B788" s="10" t="s">
        <v>70</v>
      </c>
      <c r="C788" s="9" t="s">
        <v>64</v>
      </c>
      <c r="D788" s="11">
        <f>'Raw Data'!J45</f>
        <v>117923</v>
      </c>
    </row>
    <row r="789" ht="15.75" customHeight="1">
      <c r="A789" s="12" t="s">
        <v>56</v>
      </c>
      <c r="B789" s="13" t="s">
        <v>70</v>
      </c>
      <c r="C789" s="12" t="s">
        <v>65</v>
      </c>
      <c r="D789" s="14">
        <f>'Raw Data'!K45</f>
        <v>476538</v>
      </c>
    </row>
    <row r="790" ht="15.75" customHeight="1">
      <c r="A790" s="12" t="s">
        <v>56</v>
      </c>
      <c r="B790" s="13" t="s">
        <v>70</v>
      </c>
      <c r="C790" s="12" t="s">
        <v>66</v>
      </c>
      <c r="D790" s="14">
        <f>IF('Raw Data'!J45&gt;0, 'Raw Data'!K45/'Raw Data'!J45, 0)</f>
        <v>4.041094613</v>
      </c>
    </row>
    <row r="791" ht="15.75" customHeight="1">
      <c r="A791" s="12" t="s">
        <v>56</v>
      </c>
      <c r="B791" s="16">
        <v>2024.0</v>
      </c>
      <c r="C791" s="12" t="s">
        <v>64</v>
      </c>
      <c r="D791" s="14">
        <f>'Raw Data'!L45</f>
        <v>107009</v>
      </c>
    </row>
    <row r="792" ht="15.75" customHeight="1">
      <c r="A792" s="9" t="s">
        <v>56</v>
      </c>
      <c r="B792" s="17">
        <v>2024.0</v>
      </c>
      <c r="C792" s="9" t="s">
        <v>65</v>
      </c>
      <c r="D792" s="11">
        <f>'Raw Data'!M45</f>
        <v>483211</v>
      </c>
    </row>
    <row r="793" ht="15.75" customHeight="1">
      <c r="A793" s="9" t="s">
        <v>56</v>
      </c>
      <c r="B793" s="17">
        <v>2024.0</v>
      </c>
      <c r="C793" s="9" t="s">
        <v>66</v>
      </c>
      <c r="D793" s="11">
        <f>IF('Raw Data'!L45&gt;0, 'Raw Data'!M45/'Raw Data'!L45, 0)</f>
        <v>4.515610836</v>
      </c>
    </row>
    <row r="794" ht="15.75" customHeight="1">
      <c r="A794" s="9" t="s">
        <v>57</v>
      </c>
      <c r="B794" s="10" t="s">
        <v>63</v>
      </c>
      <c r="C794" s="9" t="s">
        <v>64</v>
      </c>
      <c r="D794" s="11">
        <f>'Raw Data'!B46</f>
        <v>28560</v>
      </c>
    </row>
    <row r="795" ht="15.75" customHeight="1">
      <c r="A795" s="12" t="s">
        <v>57</v>
      </c>
      <c r="B795" s="13" t="s">
        <v>63</v>
      </c>
      <c r="C795" s="12" t="s">
        <v>65</v>
      </c>
      <c r="D795" s="14">
        <f>'Raw Data'!C46</f>
        <v>38208</v>
      </c>
    </row>
    <row r="796" ht="15.75" customHeight="1">
      <c r="A796" s="12" t="s">
        <v>57</v>
      </c>
      <c r="B796" s="13" t="s">
        <v>63</v>
      </c>
      <c r="C796" s="12" t="s">
        <v>66</v>
      </c>
      <c r="D796" s="14">
        <f>IF('Raw Data'!B46&gt;0, 'Raw Data'!C46/'Raw Data'!B46, 0)</f>
        <v>1.337815126</v>
      </c>
    </row>
    <row r="797" ht="15.75" customHeight="1">
      <c r="A797" s="12" t="s">
        <v>57</v>
      </c>
      <c r="B797" s="13" t="s">
        <v>67</v>
      </c>
      <c r="C797" s="12" t="s">
        <v>64</v>
      </c>
      <c r="D797" s="14">
        <f>'Raw Data'!D46</f>
        <v>25134</v>
      </c>
    </row>
    <row r="798" ht="15.75" customHeight="1">
      <c r="A798" s="9" t="s">
        <v>57</v>
      </c>
      <c r="B798" s="10" t="s">
        <v>67</v>
      </c>
      <c r="C798" s="9" t="s">
        <v>65</v>
      </c>
      <c r="D798" s="11">
        <f>'Raw Data'!E46</f>
        <v>30566</v>
      </c>
    </row>
    <row r="799" ht="15.75" customHeight="1">
      <c r="A799" s="9" t="s">
        <v>57</v>
      </c>
      <c r="B799" s="10" t="s">
        <v>67</v>
      </c>
      <c r="C799" s="9" t="s">
        <v>66</v>
      </c>
      <c r="D799" s="11">
        <f>IF('Raw Data'!D46&gt;0, 'Raw Data'!E46/'Raw Data'!D46, 0)</f>
        <v>1.216121588</v>
      </c>
    </row>
    <row r="800" ht="15.75" customHeight="1">
      <c r="A800" s="9" t="s">
        <v>57</v>
      </c>
      <c r="B800" s="10" t="s">
        <v>68</v>
      </c>
      <c r="C800" s="9" t="s">
        <v>64</v>
      </c>
      <c r="D800" s="11">
        <f>'Raw Data'!F46</f>
        <v>22340</v>
      </c>
    </row>
    <row r="801" ht="15.75" customHeight="1">
      <c r="A801" s="12" t="s">
        <v>57</v>
      </c>
      <c r="B801" s="13" t="s">
        <v>68</v>
      </c>
      <c r="C801" s="12" t="s">
        <v>65</v>
      </c>
      <c r="D801" s="14">
        <f>'Raw Data'!G46</f>
        <v>24191</v>
      </c>
    </row>
    <row r="802" ht="15.75" customHeight="1">
      <c r="A802" s="12" t="s">
        <v>57</v>
      </c>
      <c r="B802" s="13" t="s">
        <v>68</v>
      </c>
      <c r="C802" s="12" t="s">
        <v>66</v>
      </c>
      <c r="D802" s="14">
        <f>IF('Raw Data'!F46&gt;0, 'Raw Data'!G46/'Raw Data'!F46, 0)</f>
        <v>1.082855864</v>
      </c>
    </row>
    <row r="803" ht="15.75" customHeight="1">
      <c r="A803" s="12" t="s">
        <v>57</v>
      </c>
      <c r="B803" s="13" t="s">
        <v>69</v>
      </c>
      <c r="C803" s="12" t="s">
        <v>64</v>
      </c>
      <c r="D803" s="14">
        <f>'Raw Data'!H46</f>
        <v>26142</v>
      </c>
    </row>
    <row r="804" ht="15.75" customHeight="1">
      <c r="A804" s="9" t="s">
        <v>57</v>
      </c>
      <c r="B804" s="10" t="s">
        <v>69</v>
      </c>
      <c r="C804" s="9" t="s">
        <v>65</v>
      </c>
      <c r="D804" s="11">
        <f>'Raw Data'!I46</f>
        <v>25335</v>
      </c>
    </row>
    <row r="805" ht="15.75" customHeight="1">
      <c r="A805" s="9" t="s">
        <v>57</v>
      </c>
      <c r="B805" s="10" t="s">
        <v>69</v>
      </c>
      <c r="C805" s="9" t="s">
        <v>66</v>
      </c>
      <c r="D805" s="11">
        <f>IF('Raw Data'!H46&gt;0, 'Raw Data'!I46/'Raw Data'!H46, 0)</f>
        <v>0.9691301354</v>
      </c>
    </row>
    <row r="806" ht="15.75" customHeight="1">
      <c r="A806" s="9" t="s">
        <v>57</v>
      </c>
      <c r="B806" s="10" t="s">
        <v>70</v>
      </c>
      <c r="C806" s="9" t="s">
        <v>64</v>
      </c>
      <c r="D806" s="11">
        <f>'Raw Data'!J46</f>
        <v>24921</v>
      </c>
    </row>
    <row r="807" ht="15.75" customHeight="1">
      <c r="A807" s="12" t="s">
        <v>57</v>
      </c>
      <c r="B807" s="13" t="s">
        <v>70</v>
      </c>
      <c r="C807" s="12" t="s">
        <v>65</v>
      </c>
      <c r="D807" s="14">
        <f>'Raw Data'!K46</f>
        <v>29659</v>
      </c>
    </row>
    <row r="808" ht="15.75" customHeight="1">
      <c r="A808" s="12" t="s">
        <v>57</v>
      </c>
      <c r="B808" s="13" t="s">
        <v>70</v>
      </c>
      <c r="C808" s="12" t="s">
        <v>66</v>
      </c>
      <c r="D808" s="14">
        <f>IF('Raw Data'!J46&gt;0, 'Raw Data'!K46/'Raw Data'!J46, 0)</f>
        <v>1.190120782</v>
      </c>
    </row>
    <row r="809" ht="15.75" customHeight="1">
      <c r="A809" s="12" t="s">
        <v>57</v>
      </c>
      <c r="B809" s="16">
        <v>2024.0</v>
      </c>
      <c r="C809" s="12" t="s">
        <v>64</v>
      </c>
      <c r="D809" s="14">
        <f>'Raw Data'!L46</f>
        <v>24771</v>
      </c>
    </row>
    <row r="810" ht="15.75" customHeight="1">
      <c r="A810" s="9" t="s">
        <v>57</v>
      </c>
      <c r="B810" s="17">
        <v>2024.0</v>
      </c>
      <c r="C810" s="9" t="s">
        <v>65</v>
      </c>
      <c r="D810" s="11">
        <f>'Raw Data'!M46</f>
        <v>34171</v>
      </c>
    </row>
    <row r="811" ht="15.75" customHeight="1">
      <c r="A811" s="9" t="s">
        <v>57</v>
      </c>
      <c r="B811" s="17">
        <v>2024.0</v>
      </c>
      <c r="C811" s="9" t="s">
        <v>66</v>
      </c>
      <c r="D811" s="11">
        <f>IF('Raw Data'!L46&gt;0, 'Raw Data'!M46/'Raw Data'!L46, 0)</f>
        <v>1.379476</v>
      </c>
    </row>
    <row r="812" ht="15.75" customHeight="1">
      <c r="A812" s="9" t="s">
        <v>58</v>
      </c>
      <c r="B812" s="10" t="s">
        <v>63</v>
      </c>
      <c r="C812" s="9" t="s">
        <v>64</v>
      </c>
      <c r="D812" s="11">
        <f>'Raw Data'!B47</f>
        <v>306</v>
      </c>
    </row>
    <row r="813" ht="15.75" customHeight="1">
      <c r="A813" s="12" t="s">
        <v>58</v>
      </c>
      <c r="B813" s="13" t="s">
        <v>63</v>
      </c>
      <c r="C813" s="12" t="s">
        <v>65</v>
      </c>
      <c r="D813" s="14">
        <f>'Raw Data'!C47</f>
        <v>225</v>
      </c>
    </row>
    <row r="814" ht="15.75" customHeight="1">
      <c r="A814" s="12" t="s">
        <v>58</v>
      </c>
      <c r="B814" s="13" t="s">
        <v>63</v>
      </c>
      <c r="C814" s="12" t="s">
        <v>66</v>
      </c>
      <c r="D814" s="14">
        <f>IF('Raw Data'!B47&gt;0, 'Raw Data'!C47/'Raw Data'!B47, 0)</f>
        <v>0.7352941176</v>
      </c>
    </row>
    <row r="815" ht="15.75" customHeight="1">
      <c r="A815" s="12" t="s">
        <v>58</v>
      </c>
      <c r="B815" s="13" t="s">
        <v>67</v>
      </c>
      <c r="C815" s="12" t="s">
        <v>64</v>
      </c>
      <c r="D815" s="14">
        <f>'Raw Data'!D47</f>
        <v>98</v>
      </c>
    </row>
    <row r="816" ht="15.75" customHeight="1">
      <c r="A816" s="9" t="s">
        <v>58</v>
      </c>
      <c r="B816" s="10" t="s">
        <v>67</v>
      </c>
      <c r="C816" s="9" t="s">
        <v>65</v>
      </c>
      <c r="D816" s="11">
        <f>'Raw Data'!E47</f>
        <v>39</v>
      </c>
    </row>
    <row r="817" ht="15.75" customHeight="1">
      <c r="A817" s="9" t="s">
        <v>58</v>
      </c>
      <c r="B817" s="10" t="s">
        <v>67</v>
      </c>
      <c r="C817" s="9" t="s">
        <v>66</v>
      </c>
      <c r="D817" s="11">
        <f>IF('Raw Data'!D47&gt;0, 'Raw Data'!E47/'Raw Data'!D47, 0)</f>
        <v>0.3979591837</v>
      </c>
    </row>
    <row r="818" ht="15.75" customHeight="1">
      <c r="A818" s="9" t="s">
        <v>58</v>
      </c>
      <c r="B818" s="10" t="s">
        <v>68</v>
      </c>
      <c r="C818" s="9" t="s">
        <v>64</v>
      </c>
      <c r="D818" s="11">
        <f>'Raw Data'!F47</f>
        <v>54</v>
      </c>
    </row>
    <row r="819" ht="15.75" customHeight="1">
      <c r="A819" s="12" t="s">
        <v>58</v>
      </c>
      <c r="B819" s="13" t="s">
        <v>68</v>
      </c>
      <c r="C819" s="12" t="s">
        <v>65</v>
      </c>
      <c r="D819" s="14">
        <f>'Raw Data'!G47</f>
        <v>19</v>
      </c>
    </row>
    <row r="820" ht="15.75" customHeight="1">
      <c r="A820" s="12" t="s">
        <v>58</v>
      </c>
      <c r="B820" s="13" t="s">
        <v>68</v>
      </c>
      <c r="C820" s="12" t="s">
        <v>66</v>
      </c>
      <c r="D820" s="14">
        <f>IF('Raw Data'!F47&gt;0, 'Raw Data'!G47/'Raw Data'!F47, 0)</f>
        <v>0.3518518519</v>
      </c>
    </row>
    <row r="821" ht="15.75" customHeight="1">
      <c r="A821" s="12" t="s">
        <v>58</v>
      </c>
      <c r="B821" s="13" t="s">
        <v>69</v>
      </c>
      <c r="C821" s="12" t="s">
        <v>64</v>
      </c>
      <c r="D821" s="14">
        <f>'Raw Data'!H47</f>
        <v>72</v>
      </c>
    </row>
    <row r="822" ht="15.75" customHeight="1">
      <c r="A822" s="9" t="s">
        <v>58</v>
      </c>
      <c r="B822" s="10" t="s">
        <v>69</v>
      </c>
      <c r="C822" s="9" t="s">
        <v>65</v>
      </c>
      <c r="D822" s="11">
        <f>'Raw Data'!I47</f>
        <v>25</v>
      </c>
    </row>
    <row r="823" ht="15.75" customHeight="1">
      <c r="A823" s="9" t="s">
        <v>58</v>
      </c>
      <c r="B823" s="10" t="s">
        <v>69</v>
      </c>
      <c r="C823" s="9" t="s">
        <v>66</v>
      </c>
      <c r="D823" s="11">
        <f>IF('Raw Data'!H47&gt;0, 'Raw Data'!I47/'Raw Data'!H47, 0)</f>
        <v>0.3472222222</v>
      </c>
    </row>
    <row r="824" ht="15.75" customHeight="1">
      <c r="A824" s="9" t="s">
        <v>58</v>
      </c>
      <c r="B824" s="10" t="s">
        <v>70</v>
      </c>
      <c r="C824" s="9" t="s">
        <v>64</v>
      </c>
      <c r="D824" s="11">
        <f>'Raw Data'!J47</f>
        <v>132</v>
      </c>
    </row>
    <row r="825" ht="15.75" customHeight="1">
      <c r="A825" s="12" t="s">
        <v>58</v>
      </c>
      <c r="B825" s="13" t="s">
        <v>70</v>
      </c>
      <c r="C825" s="12" t="s">
        <v>65</v>
      </c>
      <c r="D825" s="14">
        <f>'Raw Data'!K47</f>
        <v>34</v>
      </c>
    </row>
    <row r="826" ht="15.75" customHeight="1">
      <c r="A826" s="12" t="s">
        <v>58</v>
      </c>
      <c r="B826" s="13" t="s">
        <v>70</v>
      </c>
      <c r="C826" s="12" t="s">
        <v>66</v>
      </c>
      <c r="D826" s="14">
        <f>IF('Raw Data'!J47&gt;0, 'Raw Data'!K47/'Raw Data'!J47, 0)</f>
        <v>0.2575757576</v>
      </c>
    </row>
    <row r="827" ht="15.75" customHeight="1">
      <c r="A827" s="12" t="s">
        <v>58</v>
      </c>
      <c r="B827" s="16">
        <v>2024.0</v>
      </c>
      <c r="C827" s="12" t="s">
        <v>64</v>
      </c>
      <c r="D827" s="14">
        <f>'Raw Data'!L47</f>
        <v>278</v>
      </c>
    </row>
    <row r="828" ht="15.75" customHeight="1">
      <c r="A828" s="9" t="s">
        <v>58</v>
      </c>
      <c r="B828" s="17">
        <v>2024.0</v>
      </c>
      <c r="C828" s="9" t="s">
        <v>65</v>
      </c>
      <c r="D828" s="11">
        <f>'Raw Data'!M47</f>
        <v>216</v>
      </c>
    </row>
    <row r="829" ht="15.75" customHeight="1">
      <c r="A829" s="9" t="s">
        <v>58</v>
      </c>
      <c r="B829" s="17">
        <v>2024.0</v>
      </c>
      <c r="C829" s="9" t="s">
        <v>66</v>
      </c>
      <c r="D829" s="11">
        <f>IF('Raw Data'!L47&gt;0, 'Raw Data'!M47/'Raw Data'!L47, 0)</f>
        <v>0.7769784173</v>
      </c>
    </row>
    <row r="830" ht="15.75" customHeight="1">
      <c r="A830" s="9" t="s">
        <v>59</v>
      </c>
      <c r="B830" s="10" t="s">
        <v>63</v>
      </c>
      <c r="C830" s="9" t="s">
        <v>64</v>
      </c>
      <c r="D830" s="11">
        <f>'Raw Data'!B48</f>
        <v>36720</v>
      </c>
    </row>
    <row r="831" ht="15.75" customHeight="1">
      <c r="A831" s="12" t="s">
        <v>59</v>
      </c>
      <c r="B831" s="13" t="s">
        <v>63</v>
      </c>
      <c r="C831" s="12" t="s">
        <v>65</v>
      </c>
      <c r="D831" s="14">
        <f>'Raw Data'!C48</f>
        <v>82849</v>
      </c>
    </row>
    <row r="832" ht="15.75" customHeight="1">
      <c r="A832" s="12" t="s">
        <v>59</v>
      </c>
      <c r="B832" s="13" t="s">
        <v>63</v>
      </c>
      <c r="C832" s="12" t="s">
        <v>66</v>
      </c>
      <c r="D832" s="14">
        <f>IF('Raw Data'!B48&gt;0, 'Raw Data'!C48/'Raw Data'!B48, 0)</f>
        <v>2.256236383</v>
      </c>
    </row>
    <row r="833" ht="15.75" customHeight="1">
      <c r="A833" s="12" t="s">
        <v>59</v>
      </c>
      <c r="B833" s="13" t="s">
        <v>67</v>
      </c>
      <c r="C833" s="12" t="s">
        <v>64</v>
      </c>
      <c r="D833" s="14">
        <f>'Raw Data'!D48</f>
        <v>32354</v>
      </c>
    </row>
    <row r="834" ht="15.75" customHeight="1">
      <c r="A834" s="9" t="s">
        <v>59</v>
      </c>
      <c r="B834" s="10" t="s">
        <v>67</v>
      </c>
      <c r="C834" s="9" t="s">
        <v>65</v>
      </c>
      <c r="D834" s="11">
        <f>'Raw Data'!E48</f>
        <v>23400</v>
      </c>
    </row>
    <row r="835" ht="15.75" customHeight="1">
      <c r="A835" s="9" t="s">
        <v>59</v>
      </c>
      <c r="B835" s="10" t="s">
        <v>67</v>
      </c>
      <c r="C835" s="9" t="s">
        <v>66</v>
      </c>
      <c r="D835" s="11">
        <f>IF('Raw Data'!D48&gt;0, 'Raw Data'!E48/'Raw Data'!D48, 0)</f>
        <v>0.7232490573</v>
      </c>
    </row>
    <row r="836" ht="15.75" customHeight="1">
      <c r="A836" s="9" t="s">
        <v>59</v>
      </c>
      <c r="B836" s="10" t="s">
        <v>68</v>
      </c>
      <c r="C836" s="9" t="s">
        <v>64</v>
      </c>
      <c r="D836" s="11">
        <f>'Raw Data'!F48</f>
        <v>34911</v>
      </c>
    </row>
    <row r="837" ht="15.75" customHeight="1">
      <c r="A837" s="12" t="s">
        <v>59</v>
      </c>
      <c r="B837" s="13" t="s">
        <v>68</v>
      </c>
      <c r="C837" s="12" t="s">
        <v>65</v>
      </c>
      <c r="D837" s="14">
        <f>'Raw Data'!G48</f>
        <v>53193</v>
      </c>
    </row>
    <row r="838" ht="15.75" customHeight="1">
      <c r="A838" s="12" t="s">
        <v>59</v>
      </c>
      <c r="B838" s="13" t="s">
        <v>68</v>
      </c>
      <c r="C838" s="12" t="s">
        <v>66</v>
      </c>
      <c r="D838" s="14">
        <f>IF('Raw Data'!F48&gt;0, 'Raw Data'!G48/'Raw Data'!F48, 0)</f>
        <v>1.523674487</v>
      </c>
    </row>
    <row r="839" ht="15.75" customHeight="1">
      <c r="A839" s="12" t="s">
        <v>59</v>
      </c>
      <c r="B839" s="13" t="s">
        <v>69</v>
      </c>
      <c r="C839" s="12" t="s">
        <v>64</v>
      </c>
      <c r="D839" s="14">
        <f>'Raw Data'!H48</f>
        <v>34780</v>
      </c>
    </row>
    <row r="840" ht="15.75" customHeight="1">
      <c r="A840" s="9" t="s">
        <v>59</v>
      </c>
      <c r="B840" s="10" t="s">
        <v>69</v>
      </c>
      <c r="C840" s="9" t="s">
        <v>65</v>
      </c>
      <c r="D840" s="11">
        <f>'Raw Data'!I48</f>
        <v>52650</v>
      </c>
    </row>
    <row r="841" ht="15.75" customHeight="1">
      <c r="A841" s="9" t="s">
        <v>59</v>
      </c>
      <c r="B841" s="10" t="s">
        <v>69</v>
      </c>
      <c r="C841" s="9" t="s">
        <v>66</v>
      </c>
      <c r="D841" s="11">
        <f>IF('Raw Data'!H48&gt;0, 'Raw Data'!I48/'Raw Data'!H48, 0)</f>
        <v>1.513801035</v>
      </c>
    </row>
    <row r="842" ht="15.75" customHeight="1">
      <c r="A842" s="9" t="s">
        <v>59</v>
      </c>
      <c r="B842" s="10" t="s">
        <v>70</v>
      </c>
      <c r="C842" s="9" t="s">
        <v>64</v>
      </c>
      <c r="D842" s="11">
        <f>'Raw Data'!J48</f>
        <v>49097</v>
      </c>
    </row>
    <row r="843" ht="15.75" customHeight="1">
      <c r="A843" s="12" t="s">
        <v>59</v>
      </c>
      <c r="B843" s="13" t="s">
        <v>70</v>
      </c>
      <c r="C843" s="12" t="s">
        <v>65</v>
      </c>
      <c r="D843" s="14">
        <f>'Raw Data'!K48</f>
        <v>96010</v>
      </c>
    </row>
    <row r="844" ht="15.75" customHeight="1">
      <c r="A844" s="12" t="s">
        <v>59</v>
      </c>
      <c r="B844" s="13" t="s">
        <v>70</v>
      </c>
      <c r="C844" s="12" t="s">
        <v>66</v>
      </c>
      <c r="D844" s="14">
        <f>IF('Raw Data'!J48&gt;0, 'Raw Data'!K48/'Raw Data'!J48, 0)</f>
        <v>1.95551663</v>
      </c>
    </row>
    <row r="845" ht="15.75" customHeight="1">
      <c r="A845" s="12" t="s">
        <v>59</v>
      </c>
      <c r="B845" s="16">
        <v>2024.0</v>
      </c>
      <c r="C845" s="12" t="s">
        <v>64</v>
      </c>
      <c r="D845" s="14">
        <f>'Raw Data'!L48</f>
        <v>56403</v>
      </c>
    </row>
    <row r="846" ht="15.75" customHeight="1">
      <c r="A846" s="9" t="s">
        <v>59</v>
      </c>
      <c r="B846" s="17">
        <v>2024.0</v>
      </c>
      <c r="C846" s="9" t="s">
        <v>65</v>
      </c>
      <c r="D846" s="11">
        <f>'Raw Data'!M48</f>
        <v>96984</v>
      </c>
    </row>
    <row r="847" ht="15.75" customHeight="1">
      <c r="A847" s="9" t="s">
        <v>59</v>
      </c>
      <c r="B847" s="17">
        <v>2024.0</v>
      </c>
      <c r="C847" s="9" t="s">
        <v>66</v>
      </c>
      <c r="D847" s="11">
        <f>IF('Raw Data'!L48&gt;0, 'Raw Data'!M48/'Raw Data'!L48, 0)</f>
        <v>1.719483006</v>
      </c>
    </row>
    <row r="848" ht="15.75" customHeight="1">
      <c r="D848" s="18"/>
    </row>
    <row r="849" ht="15.75" customHeight="1">
      <c r="D849" s="18"/>
    </row>
    <row r="850" ht="15.75" customHeight="1">
      <c r="D850" s="18"/>
    </row>
    <row r="851" ht="15.75" customHeight="1">
      <c r="D851" s="18"/>
    </row>
    <row r="852" ht="15.75" customHeight="1">
      <c r="D852" s="18"/>
    </row>
    <row r="853" ht="15.75" customHeight="1">
      <c r="D853" s="18"/>
    </row>
    <row r="854" ht="15.75" customHeight="1">
      <c r="D854" s="18"/>
    </row>
    <row r="855" ht="15.75" customHeight="1">
      <c r="D855" s="18"/>
    </row>
    <row r="856" ht="15.75" customHeight="1">
      <c r="D856" s="18"/>
    </row>
    <row r="857" ht="15.75" customHeight="1">
      <c r="D857" s="18"/>
    </row>
    <row r="858" ht="15.75" customHeight="1">
      <c r="D858" s="18"/>
    </row>
    <row r="859" ht="15.75" customHeight="1">
      <c r="D859" s="18"/>
    </row>
    <row r="860" ht="15.75" customHeight="1">
      <c r="D860" s="18"/>
    </row>
    <row r="861" ht="15.75" customHeight="1">
      <c r="D861" s="18"/>
    </row>
    <row r="862" ht="15.75" customHeight="1">
      <c r="D862" s="18"/>
    </row>
    <row r="863" ht="15.75" customHeight="1">
      <c r="D863" s="18"/>
    </row>
    <row r="864" ht="15.75" customHeight="1">
      <c r="D864" s="18"/>
    </row>
    <row r="865" ht="15.75" customHeight="1">
      <c r="D865" s="18"/>
    </row>
    <row r="866" ht="15.75" customHeight="1">
      <c r="D866" s="18"/>
    </row>
    <row r="867" ht="15.75" customHeight="1">
      <c r="D867" s="18"/>
    </row>
    <row r="868" ht="15.75" customHeight="1">
      <c r="D868" s="18"/>
    </row>
    <row r="869" ht="15.75" customHeight="1">
      <c r="D869" s="18"/>
    </row>
    <row r="870" ht="15.75" customHeight="1">
      <c r="D870" s="18"/>
    </row>
    <row r="871" ht="15.75" customHeight="1">
      <c r="D871" s="18"/>
    </row>
    <row r="872" ht="15.75" customHeight="1">
      <c r="D872" s="18"/>
    </row>
    <row r="873" ht="15.75" customHeight="1">
      <c r="D873" s="18"/>
    </row>
    <row r="874" ht="15.75" customHeight="1">
      <c r="D874" s="18"/>
    </row>
    <row r="875" ht="15.75" customHeight="1">
      <c r="D875" s="18"/>
    </row>
    <row r="876" ht="15.75" customHeight="1">
      <c r="D876" s="18"/>
    </row>
    <row r="877" ht="15.75" customHeight="1">
      <c r="D877" s="18"/>
    </row>
    <row r="878" ht="15.75" customHeight="1">
      <c r="D878" s="18"/>
    </row>
    <row r="879" ht="15.75" customHeight="1">
      <c r="D879" s="18"/>
    </row>
    <row r="880" ht="15.75" customHeight="1">
      <c r="D880" s="18"/>
    </row>
    <row r="881" ht="15.75" customHeight="1">
      <c r="D881" s="18"/>
    </row>
    <row r="882" ht="15.75" customHeight="1">
      <c r="D882" s="18"/>
    </row>
    <row r="883" ht="15.75" customHeight="1">
      <c r="D883" s="18"/>
    </row>
    <row r="884" ht="15.75" customHeight="1">
      <c r="D884" s="18"/>
    </row>
    <row r="885" ht="15.75" customHeight="1">
      <c r="D885" s="18"/>
    </row>
    <row r="886" ht="15.75" customHeight="1">
      <c r="D886" s="18"/>
    </row>
    <row r="887" ht="15.75" customHeight="1">
      <c r="D887" s="18"/>
    </row>
    <row r="888" ht="15.75" customHeight="1">
      <c r="D888" s="18"/>
    </row>
    <row r="889" ht="15.75" customHeight="1">
      <c r="D889" s="18"/>
    </row>
    <row r="890" ht="15.75" customHeight="1">
      <c r="D890" s="18"/>
    </row>
    <row r="891" ht="15.75" customHeight="1">
      <c r="D891" s="18"/>
    </row>
    <row r="892" ht="15.75" customHeight="1">
      <c r="D892" s="18"/>
    </row>
    <row r="893" ht="15.75" customHeight="1">
      <c r="D893" s="18"/>
    </row>
    <row r="894" ht="15.75" customHeight="1">
      <c r="D894" s="18"/>
    </row>
    <row r="895" ht="15.75" customHeight="1">
      <c r="D895" s="18"/>
    </row>
    <row r="896" ht="15.75" customHeight="1">
      <c r="D896" s="18"/>
    </row>
    <row r="897" ht="15.75" customHeight="1">
      <c r="D897" s="18"/>
    </row>
    <row r="898" ht="15.75" customHeight="1">
      <c r="D898" s="18"/>
    </row>
    <row r="899" ht="15.75" customHeight="1">
      <c r="D899" s="18"/>
    </row>
    <row r="900" ht="15.75" customHeight="1">
      <c r="D900" s="18"/>
    </row>
    <row r="901" ht="15.75" customHeight="1">
      <c r="D901" s="18"/>
    </row>
    <row r="902" ht="15.75" customHeight="1">
      <c r="D902" s="18"/>
    </row>
    <row r="903" ht="15.75" customHeight="1">
      <c r="D903" s="18"/>
    </row>
    <row r="904" ht="15.75" customHeight="1">
      <c r="D904" s="18"/>
    </row>
    <row r="905" ht="15.75" customHeight="1">
      <c r="D905" s="18"/>
    </row>
    <row r="906" ht="15.75" customHeight="1">
      <c r="D906" s="18"/>
    </row>
    <row r="907" ht="15.75" customHeight="1">
      <c r="D907" s="18"/>
    </row>
    <row r="908" ht="15.75" customHeight="1">
      <c r="D908" s="18"/>
    </row>
    <row r="909" ht="15.75" customHeight="1">
      <c r="D909" s="18"/>
    </row>
    <row r="910" ht="15.75" customHeight="1">
      <c r="D910" s="18"/>
    </row>
    <row r="911" ht="15.75" customHeight="1">
      <c r="D911" s="18"/>
    </row>
    <row r="912" ht="15.75" customHeight="1">
      <c r="D912" s="18"/>
    </row>
    <row r="913" ht="15.75" customHeight="1">
      <c r="D913" s="18"/>
    </row>
    <row r="914" ht="15.75" customHeight="1">
      <c r="D914" s="18"/>
    </row>
    <row r="915" ht="15.75" customHeight="1">
      <c r="D915" s="18"/>
    </row>
    <row r="916" ht="15.75" customHeight="1">
      <c r="D916" s="18"/>
    </row>
    <row r="917" ht="15.75" customHeight="1">
      <c r="D917" s="18"/>
    </row>
    <row r="918" ht="15.75" customHeight="1">
      <c r="D918" s="18"/>
    </row>
    <row r="919" ht="15.75" customHeight="1">
      <c r="D919" s="18"/>
    </row>
    <row r="920" ht="15.75" customHeight="1">
      <c r="D920" s="18"/>
    </row>
    <row r="921" ht="15.75" customHeight="1">
      <c r="D921" s="18"/>
    </row>
    <row r="922" ht="15.75" customHeight="1">
      <c r="D922" s="18"/>
    </row>
    <row r="923" ht="15.75" customHeight="1">
      <c r="D923" s="18"/>
    </row>
    <row r="924" ht="15.75" customHeight="1">
      <c r="D924" s="18"/>
    </row>
    <row r="925" ht="15.75" customHeight="1">
      <c r="D925" s="18"/>
    </row>
    <row r="926" ht="15.75" customHeight="1">
      <c r="D926" s="18"/>
    </row>
    <row r="927" ht="15.75" customHeight="1">
      <c r="D927" s="18"/>
    </row>
    <row r="928" ht="15.75" customHeight="1">
      <c r="D928" s="18"/>
    </row>
    <row r="929" ht="15.75" customHeight="1">
      <c r="D929" s="18"/>
    </row>
    <row r="930" ht="15.75" customHeight="1">
      <c r="D930" s="18"/>
    </row>
    <row r="931" ht="15.75" customHeight="1">
      <c r="D931" s="18"/>
    </row>
    <row r="932" ht="15.75" customHeight="1">
      <c r="D932" s="18"/>
    </row>
    <row r="933" ht="15.75" customHeight="1">
      <c r="D933" s="18"/>
    </row>
    <row r="934" ht="15.75" customHeight="1">
      <c r="D934" s="18"/>
    </row>
    <row r="935" ht="15.75" customHeight="1">
      <c r="D935" s="18"/>
    </row>
    <row r="936" ht="15.75" customHeight="1">
      <c r="D936" s="18"/>
    </row>
    <row r="937" ht="15.75" customHeight="1">
      <c r="D937" s="18"/>
    </row>
    <row r="938" ht="15.75" customHeight="1">
      <c r="D938" s="18"/>
    </row>
    <row r="939" ht="15.75" customHeight="1">
      <c r="D939" s="18"/>
    </row>
    <row r="940" ht="15.75" customHeight="1">
      <c r="D940" s="18"/>
    </row>
    <row r="941" ht="15.75" customHeight="1">
      <c r="D941" s="18"/>
    </row>
    <row r="942" ht="15.75" customHeight="1">
      <c r="D942" s="18"/>
    </row>
    <row r="943" ht="15.75" customHeight="1">
      <c r="D943" s="18"/>
    </row>
    <row r="944" ht="15.75" customHeight="1">
      <c r="D944" s="18"/>
    </row>
    <row r="945" ht="15.75" customHeight="1">
      <c r="D945" s="18"/>
    </row>
    <row r="946" ht="15.75" customHeight="1">
      <c r="D946" s="18"/>
    </row>
    <row r="947" ht="15.75" customHeight="1">
      <c r="D947" s="18"/>
    </row>
    <row r="948" ht="15.75" customHeight="1">
      <c r="D948" s="18"/>
    </row>
    <row r="949" ht="15.75" customHeight="1">
      <c r="D949" s="18"/>
    </row>
    <row r="950" ht="15.75" customHeight="1">
      <c r="D950" s="18"/>
    </row>
    <row r="951" ht="15.75" customHeight="1">
      <c r="D951" s="18"/>
    </row>
    <row r="952" ht="15.75" customHeight="1">
      <c r="D952" s="18"/>
    </row>
    <row r="953" ht="15.75" customHeight="1">
      <c r="D953" s="18"/>
    </row>
    <row r="954" ht="15.75" customHeight="1">
      <c r="D954" s="18"/>
    </row>
    <row r="955" ht="15.75" customHeight="1">
      <c r="D955" s="18"/>
    </row>
    <row r="956" ht="15.75" customHeight="1">
      <c r="D956" s="18"/>
    </row>
    <row r="957" ht="15.75" customHeight="1">
      <c r="D957" s="18"/>
    </row>
    <row r="958" ht="15.75" customHeight="1">
      <c r="D958" s="18"/>
    </row>
    <row r="959" ht="15.75" customHeight="1">
      <c r="D959" s="18"/>
    </row>
    <row r="960" ht="15.75" customHeight="1">
      <c r="D960" s="18"/>
    </row>
    <row r="961" ht="15.75" customHeight="1">
      <c r="D961" s="18"/>
    </row>
    <row r="962" ht="15.75" customHeight="1">
      <c r="D962" s="18"/>
    </row>
    <row r="963" ht="15.75" customHeight="1">
      <c r="D963" s="18"/>
    </row>
    <row r="964" ht="15.75" customHeight="1">
      <c r="D964" s="18"/>
    </row>
    <row r="965" ht="15.75" customHeight="1">
      <c r="D965" s="18"/>
    </row>
    <row r="966" ht="15.75" customHeight="1">
      <c r="D966" s="18"/>
    </row>
    <row r="967" ht="15.75" customHeight="1">
      <c r="D967" s="18"/>
    </row>
    <row r="968" ht="15.75" customHeight="1">
      <c r="D968" s="18"/>
    </row>
    <row r="969" ht="15.75" customHeight="1">
      <c r="D969" s="18"/>
    </row>
    <row r="970" ht="15.75" customHeight="1">
      <c r="D970" s="18"/>
    </row>
    <row r="971" ht="15.75" customHeight="1">
      <c r="D971" s="18"/>
    </row>
    <row r="972" ht="15.75" customHeight="1">
      <c r="D972" s="18"/>
    </row>
    <row r="973" ht="15.75" customHeight="1">
      <c r="D973" s="18"/>
    </row>
    <row r="974" ht="15.75" customHeight="1">
      <c r="D974" s="18"/>
    </row>
    <row r="975" ht="15.75" customHeight="1">
      <c r="D975" s="18"/>
    </row>
    <row r="976" ht="15.75" customHeight="1">
      <c r="D976" s="18"/>
    </row>
    <row r="977" ht="15.75" customHeight="1">
      <c r="D977" s="18"/>
    </row>
    <row r="978" ht="15.75" customHeight="1">
      <c r="D978" s="18"/>
    </row>
    <row r="979" ht="15.75" customHeight="1">
      <c r="D979" s="18"/>
    </row>
    <row r="980" ht="15.75" customHeight="1">
      <c r="D980" s="18"/>
    </row>
    <row r="981" ht="15.75" customHeight="1">
      <c r="D981" s="18"/>
    </row>
    <row r="982" ht="15.75" customHeight="1">
      <c r="D982" s="18"/>
    </row>
    <row r="983" ht="15.75" customHeight="1">
      <c r="D983" s="18"/>
    </row>
    <row r="984" ht="15.75" customHeight="1">
      <c r="D984" s="18"/>
    </row>
    <row r="985" ht="15.75" customHeight="1">
      <c r="D985" s="18"/>
    </row>
    <row r="986" ht="15.75" customHeight="1">
      <c r="D986" s="18"/>
    </row>
    <row r="987" ht="15.75" customHeight="1">
      <c r="D987" s="18"/>
    </row>
    <row r="988" ht="15.75" customHeight="1">
      <c r="D988" s="18"/>
    </row>
    <row r="989" ht="15.75" customHeight="1">
      <c r="D989" s="18"/>
    </row>
    <row r="990" ht="15.75" customHeight="1">
      <c r="D990" s="18"/>
    </row>
    <row r="991" ht="15.75" customHeight="1">
      <c r="D991" s="18"/>
    </row>
    <row r="992" ht="15.75" customHeight="1">
      <c r="D992" s="18"/>
    </row>
    <row r="993" ht="15.75" customHeight="1">
      <c r="D993" s="18"/>
    </row>
    <row r="994" ht="15.75" customHeight="1">
      <c r="D994" s="18"/>
    </row>
    <row r="995" ht="15.75" customHeight="1">
      <c r="D995" s="18"/>
    </row>
    <row r="996" ht="15.75" customHeight="1">
      <c r="D996" s="18"/>
    </row>
    <row r="997" ht="15.75" customHeight="1">
      <c r="D997" s="18"/>
    </row>
    <row r="998" ht="15.75" customHeight="1">
      <c r="D998" s="18"/>
    </row>
    <row r="999" ht="15.75" customHeight="1">
      <c r="D999" s="18"/>
    </row>
    <row r="1000" ht="15.75" customHeight="1">
      <c r="D1000" s="18"/>
    </row>
  </sheetData>
  <printOptions/>
  <pageMargins bottom="1.0" footer="0.0" header="0.0" left="0.75" right="0.75" top="1.0"/>
  <pageSetup orientation="landscape"/>
  <drawing r:id="rId1"/>
</worksheet>
</file>